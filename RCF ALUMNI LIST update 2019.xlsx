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60" windowWidth="20115" windowHeight="8010"/>
  </bookViews>
  <sheets>
    <sheet name="2018-2019" sheetId="1" r:id="rId1"/>
    <sheet name="2017-2018" sheetId="2" r:id="rId2"/>
    <sheet name="2016-2017" sheetId="3" r:id="rId3"/>
    <sheet name="2015-2016" sheetId="4" r:id="rId4"/>
    <sheet name="2014-2015" sheetId="5" r:id="rId5"/>
    <sheet name="2013-2014" sheetId="6" r:id="rId6"/>
    <sheet name="2012-2013" sheetId="7" r:id="rId7"/>
    <sheet name="2011-2012" sheetId="8" r:id="rId8"/>
    <sheet name="2010-2011" sheetId="9" r:id="rId9"/>
    <sheet name="2009-2010" sheetId="10" r:id="rId10"/>
    <sheet name="2008-2009" sheetId="11" r:id="rId11"/>
    <sheet name="2007-2008" sheetId="12" r:id="rId12"/>
    <sheet name="2006-2007" sheetId="13" r:id="rId13"/>
    <sheet name="2005-2006" sheetId="14" r:id="rId14"/>
    <sheet name="2004-2005" sheetId="15" r:id="rId15"/>
    <sheet name="2003-2004" sheetId="16" r:id="rId16"/>
    <sheet name="2002-2003" sheetId="17" r:id="rId17"/>
    <sheet name="2001-2002" sheetId="18" r:id="rId18"/>
    <sheet name="2000-2001" sheetId="19" r:id="rId19"/>
    <sheet name="1999-2000" sheetId="20" r:id="rId20"/>
    <sheet name="1998-1999" sheetId="21" r:id="rId21"/>
    <sheet name="1997-1998" sheetId="22" r:id="rId22"/>
    <sheet name="1996-1997" sheetId="23" r:id="rId23"/>
    <sheet name="1995-1996" sheetId="24" r:id="rId24"/>
    <sheet name="1994-1995" sheetId="25" r:id="rId25"/>
    <sheet name="1993-1994" sheetId="26" r:id="rId26"/>
    <sheet name="1992-1993" sheetId="27" r:id="rId27"/>
    <sheet name="1991-1992" sheetId="28" r:id="rId28"/>
    <sheet name="1990-1991" sheetId="29" r:id="rId29"/>
    <sheet name="1989-1990" sheetId="30" r:id="rId30"/>
    <sheet name="1988-1989" sheetId="31" r:id="rId31"/>
    <sheet name="1987-1988" sheetId="32" r:id="rId32"/>
  </sheets>
  <definedNames>
    <definedName name="_xlnm._FilterDatabase" localSheetId="4" hidden="1">'2014-2015'!$B$9:$H$213</definedName>
    <definedName name="_GoBack" localSheetId="4">'2014-2015'!$E$211</definedName>
  </definedNames>
  <calcPr calcId="124519"/>
</workbook>
</file>

<file path=xl/calcChain.xml><?xml version="1.0" encoding="utf-8"?>
<calcChain xmlns="http://schemas.openxmlformats.org/spreadsheetml/2006/main">
  <c r="F137" i="10"/>
  <c r="E135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8"/>
  <c r="E107"/>
  <c r="E106"/>
  <c r="E105"/>
  <c r="E104"/>
  <c r="E103"/>
  <c r="E102"/>
  <c r="E101"/>
  <c r="E100"/>
  <c r="E99"/>
  <c r="E98"/>
  <c r="E97"/>
  <c r="E96"/>
  <c r="E95"/>
  <c r="E94"/>
  <c r="E93"/>
  <c r="E91"/>
  <c r="E90"/>
  <c r="E88"/>
  <c r="E87"/>
  <c r="E85"/>
  <c r="E84"/>
  <c r="E82"/>
  <c r="E81"/>
  <c r="E80"/>
  <c r="E79"/>
  <c r="E78"/>
  <c r="E77"/>
  <c r="E76"/>
  <c r="E74"/>
  <c r="F73"/>
  <c r="E72"/>
  <c r="E71"/>
  <c r="E70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0"/>
  <c r="E39"/>
  <c r="E38"/>
  <c r="E37"/>
  <c r="E36"/>
  <c r="E35"/>
  <c r="E33"/>
  <c r="E32"/>
  <c r="E31"/>
  <c r="E30"/>
  <c r="E29"/>
  <c r="E28"/>
  <c r="E27"/>
  <c r="E26"/>
  <c r="E25"/>
  <c r="E22"/>
  <c r="E21"/>
  <c r="E20"/>
  <c r="E18"/>
  <c r="E17"/>
  <c r="E16"/>
  <c r="E15"/>
  <c r="E14"/>
  <c r="F13"/>
  <c r="E13"/>
  <c r="E12"/>
  <c r="E11"/>
</calcChain>
</file>

<file path=xl/comments1.xml><?xml version="1.0" encoding="utf-8"?>
<comments xmlns="http://schemas.openxmlformats.org/spreadsheetml/2006/main">
  <authors>
    <author/>
  </authors>
  <commentList>
    <comment ref="B10" authorId="0">
      <text>
        <r>
          <rPr>
            <sz val="10"/>
            <rFont val="Arial"/>
            <family val="2"/>
          </rPr>
          <t>how do i highlight
	-jamesdoyin
----
Please higlight your updated details in yellow
	-Omolarami Ajele
----
Please update your data in this sheet
	-Omolarami Ajele
----
Love you all so dearly
	-Omolarami Ajele</t>
        </r>
      </text>
    </comment>
  </commentList>
</comments>
</file>

<file path=xl/sharedStrings.xml><?xml version="1.0" encoding="utf-8"?>
<sst xmlns="http://schemas.openxmlformats.org/spreadsheetml/2006/main" count="10438" uniqueCount="5087">
  <si>
    <t>THE REDEEMED CHRISTIAN FELLOWSHIP (RCF ), FUTA CHAPTER</t>
  </si>
  <si>
    <t>An Arm of the Redeemers Ministries (CRM)</t>
  </si>
  <si>
    <t>ALUMNI'S DATA BASE</t>
  </si>
  <si>
    <t>S/N</t>
  </si>
  <si>
    <t>NAME</t>
  </si>
  <si>
    <t>D.O.B.</t>
  </si>
  <si>
    <t>SEX</t>
  </si>
  <si>
    <t>DEPT</t>
  </si>
  <si>
    <t>ADEYEMO ATINUKE</t>
  </si>
  <si>
    <t>F</t>
  </si>
  <si>
    <t>BCH</t>
  </si>
  <si>
    <t>SOBOWALE OLANIYI</t>
  </si>
  <si>
    <t>M</t>
  </si>
  <si>
    <t>OGBOLU BENJAMIN</t>
  </si>
  <si>
    <t>AGY</t>
  </si>
  <si>
    <t>ADEYEMO HELEN</t>
  </si>
  <si>
    <t>MCB</t>
  </si>
  <si>
    <t>AJAYI DAMILOLA ESTHER</t>
  </si>
  <si>
    <t>OWOSEENI MICHAEL</t>
  </si>
  <si>
    <t>CVE</t>
  </si>
  <si>
    <t>DADA ADESOLA PHILIP</t>
  </si>
  <si>
    <t>MEE</t>
  </si>
  <si>
    <t>AWOLOPE OLUWASEUN</t>
  </si>
  <si>
    <t>SVG</t>
  </si>
  <si>
    <t>AKINBOBOLA ADEDOLAPO</t>
  </si>
  <si>
    <t>FWT</t>
  </si>
  <si>
    <t>AKINBUWADE OLUWASEUN MARY</t>
  </si>
  <si>
    <t>CHE</t>
  </si>
  <si>
    <t>BAKARE TOLULOPE</t>
  </si>
  <si>
    <t>BIO</t>
  </si>
  <si>
    <t>FAGBEMI DAMILARE</t>
  </si>
  <si>
    <t>AGP</t>
  </si>
  <si>
    <t>AGORO TAIWO</t>
  </si>
  <si>
    <t>MTS</t>
  </si>
  <si>
    <t>OJO AANUOLUWAPO</t>
  </si>
  <si>
    <t>AJEIGBE BABATUNDE DAVID</t>
  </si>
  <si>
    <t>OSEOMWAKINA A. VICTOR</t>
  </si>
  <si>
    <t>COKER OLUWASEUN I</t>
  </si>
  <si>
    <t>CSC</t>
  </si>
  <si>
    <t>AKANLE OLADOTUN</t>
  </si>
  <si>
    <t>BALOGUN DAMILOLA</t>
  </si>
  <si>
    <t>RSG</t>
  </si>
  <si>
    <t>OMODARA OLUWASEUN</t>
  </si>
  <si>
    <t>QSV</t>
  </si>
  <si>
    <t>ELUWA IFEANYI</t>
  </si>
  <si>
    <t>AGE</t>
  </si>
  <si>
    <t>ODESANYA BUSAYO</t>
  </si>
  <si>
    <t>AKPAN ABRAHAM</t>
  </si>
  <si>
    <t>AJAYI ISAIAH MIRACLE</t>
  </si>
  <si>
    <t>CSP</t>
  </si>
  <si>
    <t>BANJO ADEDAYO MICHAEL</t>
  </si>
  <si>
    <t>26..</t>
  </si>
  <si>
    <t>OGUNDARE WILLIAMS A</t>
  </si>
  <si>
    <t>IDD</t>
  </si>
  <si>
    <t>OLAGUNDOYE OLABISI</t>
  </si>
  <si>
    <t>28*</t>
  </si>
  <si>
    <t>ADESUYI TOLULOPE</t>
  </si>
  <si>
    <t>PMT</t>
  </si>
  <si>
    <t>AJIBOLA ABIOLA AHMED</t>
  </si>
  <si>
    <t>30*..</t>
  </si>
  <si>
    <t>ADABALE ADEMOLA T.</t>
  </si>
  <si>
    <t>ARIGBEDE TIMILEHIN E.</t>
  </si>
  <si>
    <t>MET</t>
  </si>
  <si>
    <t>OSAWERE WINIFREDO.</t>
  </si>
  <si>
    <t>ESM</t>
  </si>
  <si>
    <t>33*..</t>
  </si>
  <si>
    <t>OPASANYA DAYO</t>
  </si>
  <si>
    <t>34*..</t>
  </si>
  <si>
    <t>AKINSIKU OLANREWAJU</t>
  </si>
  <si>
    <t>35..</t>
  </si>
  <si>
    <t>AKINBODE VICTOR</t>
  </si>
  <si>
    <t>MNE</t>
  </si>
  <si>
    <t>36*..</t>
  </si>
  <si>
    <t>EMMANUEL CHRISTOPHER D.</t>
  </si>
  <si>
    <t>SALAWU SUNDAY A.</t>
  </si>
  <si>
    <t>ARC</t>
  </si>
  <si>
    <t>OGUNJOBI A. OLUWASEUN</t>
  </si>
  <si>
    <t>URP</t>
  </si>
  <si>
    <t>39*</t>
  </si>
  <si>
    <t>IMOHIMI EMMANUEL E.</t>
  </si>
  <si>
    <t>MUSTAPHA MICHAEL O.</t>
  </si>
  <si>
    <t>41*</t>
  </si>
  <si>
    <t>RAJI EMMANUEL</t>
  </si>
  <si>
    <t>42*</t>
  </si>
  <si>
    <t>ADRE ODUOLA TOLUWALASE</t>
  </si>
  <si>
    <t>AJAYI KAYODE D.</t>
  </si>
  <si>
    <t>44*</t>
  </si>
  <si>
    <t>ADESINA OPEOLUWA</t>
  </si>
  <si>
    <t>45*</t>
  </si>
  <si>
    <t>UBABUKO IZUCHUKWU</t>
  </si>
  <si>
    <t>46*</t>
  </si>
  <si>
    <t>BAKARE OLANREWAJU V.</t>
  </si>
  <si>
    <t>47..</t>
  </si>
  <si>
    <t>MALOMO MODUPEOLA A.</t>
  </si>
  <si>
    <t>48..</t>
  </si>
  <si>
    <t>ADU OLUWATIMILEHIN S.</t>
  </si>
  <si>
    <t>APH</t>
  </si>
  <si>
    <t>49..</t>
  </si>
  <si>
    <t>BABAJIDE OLUMIDE O.</t>
  </si>
  <si>
    <t>AEE</t>
  </si>
  <si>
    <t>50..</t>
  </si>
  <si>
    <t>AINA OLAYINKA JIMOH</t>
  </si>
  <si>
    <t>51*</t>
  </si>
  <si>
    <t>IFATUROTI OLUWATOBILOBA A.</t>
  </si>
  <si>
    <t>BAKARE OLUWADAMILARE D.</t>
  </si>
  <si>
    <t>53*</t>
  </si>
  <si>
    <t>OLATUNDE OPEYEMI</t>
  </si>
  <si>
    <t>BANJO MOFESOLA PAUL</t>
  </si>
  <si>
    <t>ADU OLUBUNMI O.</t>
  </si>
  <si>
    <t>FANIYI MICHAEL OLAWOLE</t>
  </si>
  <si>
    <t>FAGBEMIGUN ADEYINKA OKEOWO</t>
  </si>
  <si>
    <t>AKINLOYE PETER O.</t>
  </si>
  <si>
    <t>MARINDOTI DAMILOLA M.</t>
  </si>
  <si>
    <t>MME</t>
  </si>
  <si>
    <t>KAYODE OLUWABUSAYOMI</t>
  </si>
  <si>
    <t>ADEBAYO HENRY</t>
  </si>
  <si>
    <t>ADEWUYI ADEYINKA A.</t>
  </si>
  <si>
    <t>JAMES EMMANUEL</t>
  </si>
  <si>
    <t>PHY</t>
  </si>
  <si>
    <t>AYODEJI OLANREWAJU</t>
  </si>
  <si>
    <t>65*</t>
  </si>
  <si>
    <t>OLAMINKI IFEOLUWA</t>
  </si>
  <si>
    <t>SOKOYA TEMITOPE O.</t>
  </si>
  <si>
    <t>AWOSUSI FUNMILOLA REBECCA</t>
  </si>
  <si>
    <t>68*</t>
  </si>
  <si>
    <t>ADEGBOYE ADESOLA R.</t>
  </si>
  <si>
    <t>69*</t>
  </si>
  <si>
    <t>FAYEMI TOBI</t>
  </si>
  <si>
    <t>OMOTAYO YEMISI FLORENCE</t>
  </si>
  <si>
    <t>71*</t>
  </si>
  <si>
    <t>ADENIRAN TOSIN</t>
  </si>
  <si>
    <t>AKINBOBOYE TAIWO S.</t>
  </si>
  <si>
    <t>EWM</t>
  </si>
  <si>
    <t>OGUNTOKUN JANET</t>
  </si>
  <si>
    <t>AJAYI DAVID ABAYOMI</t>
  </si>
  <si>
    <t>OLAWUMI OLUWASEYI DAVID</t>
  </si>
  <si>
    <t>AKINFOLARIN OLAWALE HENRY</t>
  </si>
  <si>
    <t>OLAGUNJU TOMISIN</t>
  </si>
  <si>
    <t>FAT</t>
  </si>
  <si>
    <t>ADEDEJI OLUWASEYIFUNMI SARAH</t>
  </si>
  <si>
    <t>RAWA OLUTAYO OLUSEYI</t>
  </si>
  <si>
    <t>AYOTUNDE AYOOLA</t>
  </si>
  <si>
    <t>BAMIDELE JULIAN</t>
  </si>
  <si>
    <t>AKINYEMI AKINKUNLE PAUL</t>
  </si>
  <si>
    <t>EEE</t>
  </si>
  <si>
    <t>ADEWUMI OLUWATOSIN</t>
  </si>
  <si>
    <t>DADA BLESSING O.</t>
  </si>
  <si>
    <t>OBISESAN OLOPADE IFEOLUWA</t>
  </si>
  <si>
    <t>AKINDURO OMOLOLA</t>
  </si>
  <si>
    <t>FALOYE ESTHER OLUWASEFUNMI</t>
  </si>
  <si>
    <t>ADEJUBE OLUWAKEMI</t>
  </si>
  <si>
    <t>OSIDEKO OPEYEMI SAMUEL</t>
  </si>
  <si>
    <t>OYEWUSI EMMANUEL O.</t>
  </si>
  <si>
    <t>ADEWOLE SAMUEL DAMILOLA</t>
  </si>
  <si>
    <t>AMUJO KOLADE SYLVESTER</t>
  </si>
  <si>
    <t>ADETULA YOMI V.</t>
  </si>
  <si>
    <t>ADEDIJI AYOMIDE E.</t>
  </si>
  <si>
    <t>OMOTOSO ODUNAYO SILE</t>
  </si>
  <si>
    <t>STAT</t>
  </si>
  <si>
    <t>ADENIRAN FOLAKEMI</t>
  </si>
  <si>
    <t>AYOOLA BIMPE CHRISTIANAH</t>
  </si>
  <si>
    <t>AWOYEMI BLESSING FOLUKE</t>
  </si>
  <si>
    <t>TMT</t>
  </si>
  <si>
    <t>YUSUF KEHINDE</t>
  </si>
  <si>
    <t>ILESANMI BOLANLE A.</t>
  </si>
  <si>
    <t>AKINSOLA OLUWATOMISIN A.</t>
  </si>
  <si>
    <t>IWASOKUN ISAAC AKINYELE</t>
  </si>
  <si>
    <t>ODIA OAMEN MAXWELL</t>
  </si>
  <si>
    <t>GBADAMOSI OPEYEMI E.</t>
  </si>
  <si>
    <t>OGUNGBEMI NOAH</t>
  </si>
  <si>
    <t>OYEBOKUN AJIBOLA</t>
  </si>
  <si>
    <t>ARIYO EMMANUEL O.</t>
  </si>
  <si>
    <t>AWOPEGBA TOLUWASE</t>
  </si>
  <si>
    <t>ALOBA MATTHEW</t>
  </si>
  <si>
    <t>OLUSANYA ADETAYO</t>
  </si>
  <si>
    <t>ADEFABI PEACE TAIWO</t>
  </si>
  <si>
    <t>BABALOLA ADEBISI</t>
  </si>
  <si>
    <t>OBAFEMI OLUWATOBILOBA</t>
  </si>
  <si>
    <t>SONDE MARY</t>
  </si>
  <si>
    <t>OLOPADE ADEBAYO SOLA</t>
  </si>
  <si>
    <t>116*</t>
  </si>
  <si>
    <t>ADEBAYO ABIMBOLA</t>
  </si>
  <si>
    <t>117*</t>
  </si>
  <si>
    <t>OLAFASAKIN OLUMIDE O.</t>
  </si>
  <si>
    <t>ADEYEMI OPEYEMI</t>
  </si>
  <si>
    <t>ADEWUMI DAVID ADEOLUWA</t>
  </si>
  <si>
    <t>AWE SUNDAY FOLORUNSO</t>
  </si>
  <si>
    <t>OYEWUMI OLUMIDE</t>
  </si>
  <si>
    <t>BUSARI SEGUN DAMILARE</t>
  </si>
  <si>
    <t>OGUNRONBI FRANCIS JOJUMADE</t>
  </si>
  <si>
    <t>OYEBADE TOPE</t>
  </si>
  <si>
    <t>OLUTUNJI TIMILEHIN B.</t>
  </si>
  <si>
    <t>126*</t>
  </si>
  <si>
    <t>AJIBOLA BABATUNDE E.</t>
  </si>
  <si>
    <t>127*</t>
  </si>
  <si>
    <t>AGBEJOBI SEUN</t>
  </si>
  <si>
    <t>KUMAPAYI OLUWABUNMI</t>
  </si>
  <si>
    <t>OKEYODE RHODA</t>
  </si>
  <si>
    <t>ADENIYI OPEYEMI O.</t>
  </si>
  <si>
    <t>KOMOLAFE IBUKUNOLUWA</t>
  </si>
  <si>
    <t>AJAYI OMOLOLA OOREOFE</t>
  </si>
  <si>
    <t>ALO ANDREW TIMOTHY</t>
  </si>
  <si>
    <t>OGUNYEMI BAYO</t>
  </si>
  <si>
    <t>IKEZI CHINEDU PRINCEWILL</t>
  </si>
  <si>
    <t>ADEGOROYE THOMPSON S.</t>
  </si>
  <si>
    <t>JEGEDE OLAMIDE LAWRENCE</t>
  </si>
  <si>
    <t>SALAMI KAYODE S.</t>
  </si>
  <si>
    <t>STA</t>
  </si>
  <si>
    <t>OGUNJIMI OBASEYI</t>
  </si>
  <si>
    <t>OSADOLOR COLLINS</t>
  </si>
  <si>
    <t>ADEWUMI ADEYINKA D.</t>
  </si>
  <si>
    <t>KOLAWOLE OPEYEMI IFEOLUWA</t>
  </si>
  <si>
    <t>ARO AKINTAYO</t>
  </si>
  <si>
    <t>MST</t>
  </si>
  <si>
    <t>DOSUMU DAMILOLA A.</t>
  </si>
  <si>
    <t>OMOGBEHIN OLOLADE O.</t>
  </si>
  <si>
    <t>AIWA OLUWATIMILEHIN</t>
  </si>
  <si>
    <t>ASHIWAJU OLUFUNKE J.</t>
  </si>
  <si>
    <t>FST</t>
  </si>
  <si>
    <t>ASAFA OLUWAMAYOWA</t>
  </si>
  <si>
    <t>OMOBUDE OSAYANDE BRIGHT</t>
  </si>
  <si>
    <t>AYENI OLUSOLA A.</t>
  </si>
  <si>
    <t>ADEMOLUTI ISAAC ADEGBOYEGA</t>
  </si>
  <si>
    <t>OLORUNTEGBE AYODEJI S.</t>
  </si>
  <si>
    <t>ADEYEYE AYOTOMIDE</t>
  </si>
  <si>
    <t>AYOADE ADEMOLA O.</t>
  </si>
  <si>
    <t>UDOFIA ETINI A.</t>
  </si>
  <si>
    <t>OMOBOMI KEHINDE A.</t>
  </si>
  <si>
    <t>BABALOLA BUSAYO A.</t>
  </si>
  <si>
    <t>ADEBISI CLEMENT</t>
  </si>
  <si>
    <t>ADEWOLE TEMITOPE A.</t>
  </si>
  <si>
    <t>CHUKWUMA SANDRA SILVIA</t>
  </si>
  <si>
    <t>OLASUNKANMI A. OPEYEMI</t>
  </si>
  <si>
    <t>OTOKITI JOY</t>
  </si>
  <si>
    <t>OLANREWAJU STELLA O.</t>
  </si>
  <si>
    <t>ARUNA PRECIOUS IFEOLUWA</t>
  </si>
  <si>
    <t>ILORI BOLUWATIFE GRACE</t>
  </si>
  <si>
    <t>OLUYEMI TIMILEYIN MICHAEL</t>
  </si>
  <si>
    <t>OYAGBIJA GRACE B.</t>
  </si>
  <si>
    <t>AKINSEYE HENRY A.</t>
  </si>
  <si>
    <t>ONABANJO TAIWO A.</t>
  </si>
  <si>
    <t>AGBOOLA IBUKUNOLUWA I.</t>
  </si>
  <si>
    <t>OFOEDU GEOFFREY</t>
  </si>
  <si>
    <t xml:space="preserve">M </t>
  </si>
  <si>
    <t>OLAPEGBA FUNMILOLA</t>
  </si>
  <si>
    <t>OLOWE JANET OLAWUMI</t>
  </si>
  <si>
    <t>FALUA TEMITOPE O.</t>
  </si>
  <si>
    <t>TIAMIYU BABATUNDE ABASS</t>
  </si>
  <si>
    <t>SIJUWADE ADETOPE C.</t>
  </si>
  <si>
    <t>ADEWUMI TAIWO ANTHONY</t>
  </si>
  <si>
    <t>AGBANIMU AYODEJI B.</t>
  </si>
  <si>
    <t>AJABALUKU OLUBUKOLA JULIET</t>
  </si>
  <si>
    <t>ORESANYA ADEDAYO AYOKUNLE</t>
  </si>
  <si>
    <t>ADEBAYO EMMANUEL</t>
  </si>
  <si>
    <t>FAWOLE OLAOLUWA FELIX</t>
  </si>
  <si>
    <t>ONIPEDE HANNAH O.</t>
  </si>
  <si>
    <t>OJO OLUSOLA TIMOTHY</t>
  </si>
  <si>
    <t>ADEWOLE OLUWAFISAYO A.</t>
  </si>
  <si>
    <t>OGUNRO OLADIPUPO S.</t>
  </si>
  <si>
    <t>LAWAL OLUWASEUN TEMIDIRE</t>
  </si>
  <si>
    <t>OGUNNOWO OLUKAYODE TOLUWANI</t>
  </si>
  <si>
    <t>AKINWUMI DAMILOLA</t>
  </si>
  <si>
    <t>SIKIRU SEMIU OLALEKAN</t>
  </si>
  <si>
    <t>AKINBISODUN BABATUNDE O.</t>
  </si>
  <si>
    <t>AZEEZ HAFSAT IDOWU</t>
  </si>
  <si>
    <t>OMODELE LYDIA P.</t>
  </si>
  <si>
    <t>OLUDAIRO ABOLADE SAMUEL</t>
  </si>
  <si>
    <t>OMOLARA O. PHOEBE</t>
  </si>
  <si>
    <t>FAJOBI ADEBOWALE</t>
  </si>
  <si>
    <t>ADEWOLE OYEBOKUN AJIBOLA</t>
  </si>
  <si>
    <t>MAJOLAGBE OLUFEMI</t>
  </si>
  <si>
    <t>MOSES BUSAYO T.</t>
  </si>
  <si>
    <t>OWOLABI AYODEJI</t>
  </si>
  <si>
    <t>ADEDOYIN OLUWAPELUMI</t>
  </si>
  <si>
    <t>ILEVBAOJE IMONICHE</t>
  </si>
  <si>
    <t>AKINBOBOLA ADEDOLAPO A.</t>
  </si>
  <si>
    <t>POPOOLA OLUBUKOLA</t>
  </si>
  <si>
    <t>Choir coord</t>
  </si>
  <si>
    <t>Sanctuary coord</t>
  </si>
  <si>
    <t>Bible Study coord</t>
  </si>
  <si>
    <t>Head Usher</t>
  </si>
  <si>
    <t>Brothers' Coord</t>
  </si>
  <si>
    <t xml:space="preserve"> Ass. 100L/pds/UABS</t>
  </si>
  <si>
    <t>President</t>
  </si>
  <si>
    <t>Vice- President</t>
  </si>
  <si>
    <t>Editor-in-Chief</t>
  </si>
  <si>
    <t xml:space="preserve">General Secretary </t>
  </si>
  <si>
    <t>Financial Secretary</t>
  </si>
  <si>
    <t>Sisters' Coord</t>
  </si>
  <si>
    <t>Prayer coord</t>
  </si>
  <si>
    <t>Evangelism coord</t>
  </si>
  <si>
    <t>Hall rep coord</t>
  </si>
  <si>
    <t>Ass. Hall rep 1</t>
  </si>
  <si>
    <t>Librarian</t>
  </si>
  <si>
    <t>Organizing coord</t>
  </si>
  <si>
    <t>Publicty coord</t>
  </si>
  <si>
    <t>Ass.Publicity coord</t>
  </si>
  <si>
    <t>Ass. Head Usher</t>
  </si>
  <si>
    <t>Welfare coord</t>
  </si>
  <si>
    <t>Ass. Welfare coord</t>
  </si>
  <si>
    <t>Part 5 coord</t>
  </si>
  <si>
    <t>Ass. Part 5coord</t>
  </si>
  <si>
    <t xml:space="preserve"> 100/pds/uabs coord</t>
  </si>
  <si>
    <t>Ass. 100/pds/uabs 2</t>
  </si>
  <si>
    <t>PNONE NO</t>
  </si>
  <si>
    <t>DOB</t>
  </si>
  <si>
    <t xml:space="preserve">PHONE </t>
  </si>
  <si>
    <t>ABE GBEMISOLA E</t>
  </si>
  <si>
    <t>PRAYER</t>
  </si>
  <si>
    <t>ADARA MARK</t>
  </si>
  <si>
    <t>AKINYEMI TIMOTHY</t>
  </si>
  <si>
    <t>ASHOGBON OLUWATOSIN</t>
  </si>
  <si>
    <t>EVANGELISM</t>
  </si>
  <si>
    <t>BABANIJI OLUWATOBI</t>
  </si>
  <si>
    <t>DDF</t>
  </si>
  <si>
    <t>OWOEYE TIMI</t>
  </si>
  <si>
    <t xml:space="preserve">BAMIGBOYE GBEMISOLA </t>
  </si>
  <si>
    <t>FWL</t>
  </si>
  <si>
    <t>GBADEBO IFEOLUWA K</t>
  </si>
  <si>
    <t>WELFARE</t>
  </si>
  <si>
    <t>IBILEYE DOTUN</t>
  </si>
  <si>
    <t>IKE OLUSOLA</t>
  </si>
  <si>
    <t>JEMIBEWON OLUWAKEMI</t>
  </si>
  <si>
    <t xml:space="preserve">OGUNDOJUTIMI SUNDAY </t>
  </si>
  <si>
    <t>OKERAYI GBOLAHAN</t>
  </si>
  <si>
    <t>USHERING</t>
  </si>
  <si>
    <t>OKOYEANICHE PATRICK</t>
  </si>
  <si>
    <t>OMOBOYEJE VICTOR O</t>
  </si>
  <si>
    <t>OZORE U. MOSES</t>
  </si>
  <si>
    <t>SOBOGUN OLATUNDE</t>
  </si>
  <si>
    <t>TVM</t>
  </si>
  <si>
    <t>ADEBISI MERCY A</t>
  </si>
  <si>
    <t>ADEBOYE OLUFUNKE A</t>
  </si>
  <si>
    <t xml:space="preserve">ADENIYI KEMISOLA </t>
  </si>
  <si>
    <t>ADEYANJU EMMANUEL</t>
  </si>
  <si>
    <t>ADEOTI AYODELE</t>
  </si>
  <si>
    <t>PUBLICIT</t>
  </si>
  <si>
    <t>AFOLABI BUSAYO S</t>
  </si>
  <si>
    <t>AJAYI KEHINDE</t>
  </si>
  <si>
    <t>AJILORE KOLAWOLE</t>
  </si>
  <si>
    <t>AKINDOYO FELIX AKINOLA</t>
  </si>
  <si>
    <t>USHERIN</t>
  </si>
  <si>
    <t>AKINOLA OLUWASHINA J</t>
  </si>
  <si>
    <t>AKINWUMI YEWANDE E</t>
  </si>
  <si>
    <t>ASEYAN BABAJIDE</t>
  </si>
  <si>
    <t>B/ STUDY</t>
  </si>
  <si>
    <t>AWOSIKA BABAJIDE M</t>
  </si>
  <si>
    <t>DADA ADADEJI SOLOMON</t>
  </si>
  <si>
    <t>DADA DAVID O</t>
  </si>
  <si>
    <t>FAGBAYI ABAYOMI DANIEL</t>
  </si>
  <si>
    <t>ACADEMIC</t>
  </si>
  <si>
    <t>FARONBI SAMUEL</t>
  </si>
  <si>
    <t>JAIYEOLA GABRIEL O</t>
  </si>
  <si>
    <t>NKWUKA NNAMDI A</t>
  </si>
  <si>
    <t>ACADEMI</t>
  </si>
  <si>
    <t>OLUOKUN OLUWAYIMIKA</t>
  </si>
  <si>
    <t>ORISAWUYI BOLUWATIWI</t>
  </si>
  <si>
    <t>ADENIYI HEZEKIAH T</t>
  </si>
  <si>
    <t>B/STUDY</t>
  </si>
  <si>
    <t>ADERETI ADEWALE</t>
  </si>
  <si>
    <t>AGBEBI OLUWASEUN J</t>
  </si>
  <si>
    <t>AJAYI AYODELE O</t>
  </si>
  <si>
    <t>AKANDE GLADYS M</t>
  </si>
  <si>
    <t>PUBLICITY</t>
  </si>
  <si>
    <t>EKUDEHINWA SESAN A</t>
  </si>
  <si>
    <t>AKINBILE OLUWAKEMI</t>
  </si>
  <si>
    <t>DOSUMU SEGUN</t>
  </si>
  <si>
    <t>EGENA VINCENT</t>
  </si>
  <si>
    <t>EROMOJELE E. FREDRICK</t>
  </si>
  <si>
    <t>FAMAKINWA MICHAEL B</t>
  </si>
  <si>
    <t>FAWIBE MATTHEW O</t>
  </si>
  <si>
    <t>FOLARANMI OLABISI E</t>
  </si>
  <si>
    <t>IBITOYE TITILAYO</t>
  </si>
  <si>
    <t>OGBENA GIFT E</t>
  </si>
  <si>
    <t>OGUNSUYI OPEYEMI B</t>
  </si>
  <si>
    <t>OMOJOLA IFEOLUWA A</t>
  </si>
  <si>
    <t>OWOEYE GABREL SEYI</t>
  </si>
  <si>
    <t xml:space="preserve">ADEDOKUN AYOSUNBO </t>
  </si>
  <si>
    <t>ADEPOJU OLUSOLA D</t>
  </si>
  <si>
    <t>ADEKILE MODUPE A</t>
  </si>
  <si>
    <t>ADELOYE ADEBAYO</t>
  </si>
  <si>
    <t>ADENIYI DAMILOLA M</t>
  </si>
  <si>
    <t>EHUMADA UCHE</t>
  </si>
  <si>
    <t>ADETUNJI ADEDOLAPO</t>
  </si>
  <si>
    <t>ADETUNJI ADEDOLAPO E</t>
  </si>
  <si>
    <t>ADEYA ADEOLA  O</t>
  </si>
  <si>
    <t>AFE KADE OLATUNDE</t>
  </si>
  <si>
    <t>AKINYA OLUWABUNMI</t>
  </si>
  <si>
    <t>ALADEMEHIN YEMIDALE T</t>
  </si>
  <si>
    <t>AROWOLO IDOWU</t>
  </si>
  <si>
    <t>BELIE AKINJUBI D</t>
  </si>
  <si>
    <t>FOLLOW-</t>
  </si>
  <si>
    <t>FAKUA OLAMIDE F</t>
  </si>
  <si>
    <t>PUPLICIT</t>
  </si>
  <si>
    <t>FOLAJIMI DAMILOLA F</t>
  </si>
  <si>
    <t>IDOWU TEMITOPE K</t>
  </si>
  <si>
    <t>JAIYEOLA GABRIAL</t>
  </si>
  <si>
    <t>KAYODE OLUWASEYI</t>
  </si>
  <si>
    <t>OMOSOWON TOLU</t>
  </si>
  <si>
    <t>OBASUSI OLASUNKANMI I</t>
  </si>
  <si>
    <t>OBAYELU IGBEKELE S</t>
  </si>
  <si>
    <t>OKUSANYA AFOLARIN</t>
  </si>
  <si>
    <t>OLULEYE AYOKUNLE</t>
  </si>
  <si>
    <t>OLUYEMI DAMILOLA H</t>
  </si>
  <si>
    <t>OMIYALE OLATUNBOSUN</t>
  </si>
  <si>
    <t>ONI MOYINOLUWA A</t>
  </si>
  <si>
    <t>OTEMOYE TOLULOPE</t>
  </si>
  <si>
    <t>OWONAIYE SANMI I</t>
  </si>
  <si>
    <t>ADAJA OLUWABUNMI O</t>
  </si>
  <si>
    <t>ADEDEJI TOSIN E</t>
  </si>
  <si>
    <t>ADEKANNBI SAMUEL</t>
  </si>
  <si>
    <t>ADEKOYA ADEBOWALE</t>
  </si>
  <si>
    <t>AKINOLA FESTUS A</t>
  </si>
  <si>
    <t>BANKOLE GABRAEL A</t>
  </si>
  <si>
    <t>BETIKU SEGUN</t>
  </si>
  <si>
    <t>DARE OGUNLEYE M</t>
  </si>
  <si>
    <t>FAJOBI OLALEKAN</t>
  </si>
  <si>
    <t>FASUGBA GBENGA J</t>
  </si>
  <si>
    <t>FOLAYAN BABATUNDE ISAA</t>
  </si>
  <si>
    <t xml:space="preserve">OGUNBADEJO TOPE </t>
  </si>
  <si>
    <t>FOLLOW</t>
  </si>
  <si>
    <t>ONAYEMI DAMILOLA D</t>
  </si>
  <si>
    <t>OYELEYE GRACE O</t>
  </si>
  <si>
    <t>OYEYIOLA OYEDOYIN O</t>
  </si>
  <si>
    <t>SAMUEL SEUN G</t>
  </si>
  <si>
    <t>ABATAN OLUWADUNNI O</t>
  </si>
  <si>
    <t>ADEGBOYEGA JIDE</t>
  </si>
  <si>
    <t>ADENOLA OLUKEMI 0</t>
  </si>
  <si>
    <t>AYOBAMI OLUOKUN</t>
  </si>
  <si>
    <t>FALADE OMOLOLU OLUMIDE</t>
  </si>
  <si>
    <t>ORGANIZING</t>
  </si>
  <si>
    <t>FALODUN OLANIKE  P</t>
  </si>
  <si>
    <t>OMOUKI YETUNDE</t>
  </si>
  <si>
    <t>FASAE OLUSOLA</t>
  </si>
  <si>
    <t>IMANI OLAWALE</t>
  </si>
  <si>
    <t>ISRAEL M ADEMOLA</t>
  </si>
  <si>
    <t>JEGEDE TEMITAYO</t>
  </si>
  <si>
    <t>KEHIDE OPEYEMI</t>
  </si>
  <si>
    <t>OGUNLANA BABAJIDE T</t>
  </si>
  <si>
    <t>OJENIKE ADEKEMI A</t>
  </si>
  <si>
    <t>OJO SHOLA</t>
  </si>
  <si>
    <t>OLAWUMI OLUFEMI</t>
  </si>
  <si>
    <t>OMEOBI VICTOR</t>
  </si>
  <si>
    <t>OMONIYI TEMITOPE J</t>
  </si>
  <si>
    <t>ONIGBINDE BUKOLA O</t>
  </si>
  <si>
    <t>EDITORIAL</t>
  </si>
  <si>
    <t>OYESOMI ROTIMI M</t>
  </si>
  <si>
    <t>UMUKORO REUBEN</t>
  </si>
  <si>
    <t>ADEKUNLE TOLULOPE</t>
  </si>
  <si>
    <t>ADELEYE BENARD A</t>
  </si>
  <si>
    <t>ADENIYI ALABA E</t>
  </si>
  <si>
    <t>ADEYO OLUWADUNSIN</t>
  </si>
  <si>
    <t>AFUYE OLAKUNLE</t>
  </si>
  <si>
    <t>AGOFURE JEREMIAH O</t>
  </si>
  <si>
    <t>AKINBOLUJI ADEYEMI N</t>
  </si>
  <si>
    <t>AKINDOLIE TOBI</t>
  </si>
  <si>
    <t>AKINWA SEGUN</t>
  </si>
  <si>
    <t>AKINWOLEOLA OPEYEMI</t>
  </si>
  <si>
    <t>AWEKOHE FELIX E</t>
  </si>
  <si>
    <t>AYODELE OLUWAGBEGA J.</t>
  </si>
  <si>
    <t>BETIKU OLUWASEGUN</t>
  </si>
  <si>
    <t>ESAN  ISRAEL A.</t>
  </si>
  <si>
    <t>FALORE TOSIN</t>
  </si>
  <si>
    <t>IBITOYE SOJI M</t>
  </si>
  <si>
    <t>OGUNDANA KUNLE</t>
  </si>
  <si>
    <t>OKOKO MKPOUTO U</t>
  </si>
  <si>
    <t>OLAYINKA JOSEPH</t>
  </si>
  <si>
    <t xml:space="preserve">TOSIN DARAMOLA </t>
  </si>
  <si>
    <t>ORG</t>
  </si>
  <si>
    <t>ADENIRAN OLUWAKEMI A</t>
  </si>
  <si>
    <t>ADEWOLE VINCENT</t>
  </si>
  <si>
    <t>AJAYI TOSIN TUNRAYO</t>
  </si>
  <si>
    <t>AKINOJOYE WALE</t>
  </si>
  <si>
    <t>AKINYOSOYE BABAWALE</t>
  </si>
  <si>
    <t>AWOYEMI SAMUEL</t>
  </si>
  <si>
    <t>IMORU OLUWATOYIN</t>
  </si>
  <si>
    <t>OBAGUNWA KEMI</t>
  </si>
  <si>
    <t>OKIEMURE HENRY EJIRO</t>
  </si>
  <si>
    <t>OLADELE GILBERT A</t>
  </si>
  <si>
    <t>OLOWOJOBA ADEMULEGUN</t>
  </si>
  <si>
    <t>OLUSOGA OLAWALE</t>
  </si>
  <si>
    <t>SHITTU OMOLARA</t>
  </si>
  <si>
    <t>ADEBUNMI FUNMILAYO H</t>
  </si>
  <si>
    <t>AWE BABATUNDE</t>
  </si>
  <si>
    <t>ADELOWO ADEOLA A</t>
  </si>
  <si>
    <t>AKINGBOYEGBE OPEYEMI</t>
  </si>
  <si>
    <t>BABATUNDE WUMI</t>
  </si>
  <si>
    <t>BOLARINWA ABIMBOLA</t>
  </si>
  <si>
    <t>AKINSELE AKINBAYO</t>
  </si>
  <si>
    <t>ENYA ROLAND</t>
  </si>
  <si>
    <t>FETUGA ADEDOTUN</t>
  </si>
  <si>
    <t>KEHINDE IFEDAYO</t>
  </si>
  <si>
    <t>OLATOKUNBO OLALEKAN V</t>
  </si>
  <si>
    <t>OLOJUOLA ALEX</t>
  </si>
  <si>
    <t>OLONITOYE TOLU F</t>
  </si>
  <si>
    <t>OLUWATOSIN EMMANUEL</t>
  </si>
  <si>
    <t xml:space="preserve">CSC </t>
  </si>
  <si>
    <t>ADEYEMI BABATUNDE D</t>
  </si>
  <si>
    <t>ADEYEYE AYODEJI BAYO</t>
  </si>
  <si>
    <t>AGBOOLA IBIRONKE</t>
  </si>
  <si>
    <t>AKEJU OSUOLALE J</t>
  </si>
  <si>
    <t>AKINDOLIE OLUWALEKE</t>
  </si>
  <si>
    <t>AYENI OLUWATOSIN</t>
  </si>
  <si>
    <t>BABALOLA AYODEJI S</t>
  </si>
  <si>
    <t>FALEYE VICTOR IDOWU</t>
  </si>
  <si>
    <t>KIKEKAN OLUGBENGA</t>
  </si>
  <si>
    <t>NUFFI OSIEKA MENI</t>
  </si>
  <si>
    <t>OLATOMIRIN OLABANJI S</t>
  </si>
  <si>
    <t>OLAWOLE BANJI</t>
  </si>
  <si>
    <t>OLAWOYE DAYO</t>
  </si>
  <si>
    <t>OLORUNTOBA MAYOWA</t>
  </si>
  <si>
    <t>OSUNLOLA FEMI V</t>
  </si>
  <si>
    <t>ADEGOKE TEMITAYO O</t>
  </si>
  <si>
    <t>ADENIYI AKINWALE</t>
  </si>
  <si>
    <t>AFOLABI ISMAILA P</t>
  </si>
  <si>
    <t>AKABUIKECHRISTIANA O</t>
  </si>
  <si>
    <t>AKINMOLADUN ABAYOMI H</t>
  </si>
  <si>
    <t>AKIODE OLUWATOBI S</t>
  </si>
  <si>
    <t>ALO AYOPO B</t>
  </si>
  <si>
    <t>BENYEOGOR NAOMI ROHEM</t>
  </si>
  <si>
    <t>KEHINDE OLASUNKANMI</t>
  </si>
  <si>
    <t>OGUNSUSI ADEMOLA A</t>
  </si>
  <si>
    <t>OJO OLAOLUWA O</t>
  </si>
  <si>
    <t>OLAONIPEKUN OLADOTUN</t>
  </si>
  <si>
    <t>OLADIPO OLUREMI</t>
  </si>
  <si>
    <t>OLAGUNDOYE AKIN</t>
  </si>
  <si>
    <t>OMONAIYE ISAAC</t>
  </si>
  <si>
    <t xml:space="preserve">SALAMI MICHAEL </t>
  </si>
  <si>
    <t>SANNI FUMILAYO</t>
  </si>
  <si>
    <t>UHAKHEME D MATHEW</t>
  </si>
  <si>
    <t>ADEOGUN TEMITOPE</t>
  </si>
  <si>
    <t>ADETOKUNBO TITILOLA T</t>
  </si>
  <si>
    <t>ADEWOLE DOTUN</t>
  </si>
  <si>
    <t>AGBOOLA OLUWASEUN Y</t>
  </si>
  <si>
    <t>ALONGE OLATUNDE DANIEL</t>
  </si>
  <si>
    <t>DARAMOLA STEPHEN O</t>
  </si>
  <si>
    <t>ESAN OLUWASEUN O</t>
  </si>
  <si>
    <t>IJANIYI OLUWATOSIN O</t>
  </si>
  <si>
    <t>MBA EMMANUEL U</t>
  </si>
  <si>
    <t>OGUNDIJO SESAN</t>
  </si>
  <si>
    <t>OJENIKE ADEKEMI</t>
  </si>
  <si>
    <t>OLUMOKO FRANCIS</t>
  </si>
  <si>
    <t>OMOBOWALE DARE</t>
  </si>
  <si>
    <t>OYEBAMIJI TIMOTHY D</t>
  </si>
  <si>
    <t>ALABI SAMUEL</t>
  </si>
  <si>
    <t>OFFICE HELD/UNIT</t>
  </si>
  <si>
    <t>N</t>
  </si>
  <si>
    <t>M,</t>
  </si>
  <si>
    <t>FOLLOW-UP</t>
  </si>
  <si>
    <r>
      <rPr>
        <b/>
        <sz val="11"/>
        <color rgb="FF000000"/>
        <rFont val="AR CENA"/>
      </rPr>
      <t xml:space="preserve">                                     </t>
    </r>
    <r>
      <rPr>
        <b/>
        <u/>
        <sz val="11"/>
        <color rgb="FF000000"/>
        <rFont val="AR CENA"/>
      </rPr>
      <t>UNTO PERFECTION GENERATION 2014/2015</t>
    </r>
  </si>
  <si>
    <r>
      <rPr>
        <b/>
        <sz val="12"/>
        <color rgb="FF000000"/>
        <rFont val="AR CENA"/>
      </rPr>
      <t xml:space="preserve">                                                </t>
    </r>
    <r>
      <rPr>
        <b/>
        <u/>
        <sz val="12"/>
        <color rgb="FF000000"/>
        <rFont val="AR CENA"/>
      </rPr>
      <t xml:space="preserve"> CHOSEN GENERATION FAMILY</t>
    </r>
  </si>
  <si>
    <r>
      <rPr>
        <b/>
        <sz val="12"/>
        <color rgb="FF000000"/>
        <rFont val="AR CENA"/>
      </rPr>
      <t xml:space="preserve">                                 </t>
    </r>
    <r>
      <rPr>
        <b/>
        <u val="double"/>
        <sz val="12"/>
        <color rgb="FF000000"/>
        <rFont val="AR CENA"/>
      </rPr>
      <t xml:space="preserve">THE LORD REIGNS GENERATION 2011/2012 </t>
    </r>
  </si>
  <si>
    <r>
      <rPr>
        <b/>
        <sz val="12"/>
        <color rgb="FF000000"/>
        <rFont val="AR CENA"/>
      </rPr>
      <t xml:space="preserve">                                              </t>
    </r>
    <r>
      <rPr>
        <b/>
        <u val="double"/>
        <sz val="12"/>
        <color rgb="FF000000"/>
        <rFont val="AR CENA"/>
      </rPr>
      <t>PECULIAR TREASURE FAMILY</t>
    </r>
  </si>
  <si>
    <r>
      <rPr>
        <b/>
        <sz val="12"/>
        <color rgb="FF000000"/>
        <rFont val="AR CENA"/>
      </rPr>
      <t xml:space="preserve">                                                </t>
    </r>
    <r>
      <rPr>
        <b/>
        <u/>
        <sz val="12"/>
        <color rgb="FF000000"/>
        <rFont val="AR CENA"/>
      </rPr>
      <t xml:space="preserve"> SAINT IN THE LIGHT FAMILY</t>
    </r>
  </si>
  <si>
    <r>
      <rPr>
        <b/>
        <sz val="11"/>
        <color rgb="FF000000"/>
        <rFont val="AR CENA"/>
      </rPr>
      <t xml:space="preserve">                                             </t>
    </r>
    <r>
      <rPr>
        <b/>
        <u/>
        <sz val="11"/>
        <color rgb="FF000000"/>
        <rFont val="AR CENA"/>
      </rPr>
      <t xml:space="preserve"> GOD WITH US GENERATION 2015/2016</t>
    </r>
  </si>
  <si>
    <r>
      <rPr>
        <b/>
        <sz val="12"/>
        <color rgb="FF000000"/>
        <rFont val="AR CENA"/>
      </rPr>
      <t xml:space="preserve">                                                                 </t>
    </r>
    <r>
      <rPr>
        <b/>
        <u/>
        <sz val="12"/>
        <color rgb="FF000000"/>
        <rFont val="AR CENA"/>
      </rPr>
      <t xml:space="preserve"> MASTER'S FAMILY</t>
    </r>
  </si>
  <si>
    <t>CELL PHONE</t>
  </si>
  <si>
    <t>EMAIL</t>
  </si>
  <si>
    <t>D.O.B</t>
  </si>
  <si>
    <t>SHONUGA BUSOLA A.</t>
  </si>
  <si>
    <t>adesho247@yahoo.com</t>
  </si>
  <si>
    <t>FEMALE</t>
  </si>
  <si>
    <t>AJAYI MOSUNMOLA</t>
  </si>
  <si>
    <t>08036921457</t>
  </si>
  <si>
    <t>mosunmolakofoworola@gmail.com</t>
  </si>
  <si>
    <t>ADEWALE LAWANI O.</t>
  </si>
  <si>
    <t>08112808619</t>
  </si>
  <si>
    <t>lawaniadewale@gmail.com</t>
  </si>
  <si>
    <t>MALE</t>
  </si>
  <si>
    <t>ADETULA KEHINDE</t>
  </si>
  <si>
    <t>08135256292</t>
  </si>
  <si>
    <t>kehindeadetula@gmail.com</t>
  </si>
  <si>
    <t>FASOLA BUSAYO</t>
  </si>
  <si>
    <t>07038309719</t>
  </si>
  <si>
    <t>bharms14@gmail.com</t>
  </si>
  <si>
    <t>OLORUNFEMI JOY</t>
  </si>
  <si>
    <t>08183650210</t>
  </si>
  <si>
    <t>olorunfemijoy@gmail.com</t>
  </si>
  <si>
    <t>EKPE EDIDIONG EKPE</t>
  </si>
  <si>
    <t>08085628700</t>
  </si>
  <si>
    <t>eddy_ekpe@yahoo.com</t>
  </si>
  <si>
    <t>SANTUARY KEEPERS</t>
  </si>
  <si>
    <t>OWOBAYI JOHN</t>
  </si>
  <si>
    <t>08138033702</t>
  </si>
  <si>
    <t>AKINROWO OLUWAFEMI M.</t>
  </si>
  <si>
    <t>08101563618</t>
  </si>
  <si>
    <t>OLADEJI ABIGAEL O</t>
  </si>
  <si>
    <t>07033274530</t>
  </si>
  <si>
    <t>queenabigael08@yahoo.com</t>
  </si>
  <si>
    <t>AKIYESI EMMANUEL A</t>
  </si>
  <si>
    <t>08060626340</t>
  </si>
  <si>
    <t xml:space="preserve">akiyesi.aemmanuel@yahoo.com </t>
  </si>
  <si>
    <t>AJAYI OMOBOLAJI O</t>
  </si>
  <si>
    <t>07062816593</t>
  </si>
  <si>
    <t>tosinbj4wisdom@yahoo.com</t>
  </si>
  <si>
    <t>ADEDOTUN SOLA T</t>
  </si>
  <si>
    <t>08132604160</t>
  </si>
  <si>
    <t>OYEBANJO OLOLADE T</t>
  </si>
  <si>
    <t>08059793947</t>
  </si>
  <si>
    <t>MOSES FADOLU O</t>
  </si>
  <si>
    <t>08089366642</t>
  </si>
  <si>
    <t>SUNDAY OLUSOLA A</t>
  </si>
  <si>
    <t>07062044574</t>
  </si>
  <si>
    <t>m.shawly@yahoo.com</t>
  </si>
  <si>
    <t>ADEWUMI SEGUN E</t>
  </si>
  <si>
    <t>07069446328</t>
  </si>
  <si>
    <t>olusegunadex@gmail.com</t>
  </si>
  <si>
    <t>OTUN TEMITOPE</t>
  </si>
  <si>
    <t>08026486252</t>
  </si>
  <si>
    <t>ADEBISI C ADEYEMI</t>
  </si>
  <si>
    <t>08136645754</t>
  </si>
  <si>
    <t>bechiey14@yahoo.com</t>
  </si>
  <si>
    <t>UDOKWU FRANCIS O</t>
  </si>
  <si>
    <t>08085762410</t>
  </si>
  <si>
    <t>francisudokwu@gmail.com</t>
  </si>
  <si>
    <t>IBITOYE VINCENT O</t>
  </si>
  <si>
    <t>08038018040</t>
  </si>
  <si>
    <t>ODUNYEMI SUNDAY J</t>
  </si>
  <si>
    <t>08163058208</t>
  </si>
  <si>
    <t>OGUNMOLA OLUWAFEMI B</t>
  </si>
  <si>
    <t>08075038100</t>
  </si>
  <si>
    <t>EKUNDINA SAMUEL O</t>
  </si>
  <si>
    <t>07032927337</t>
  </si>
  <si>
    <t>talk2bigekun@yahoo.com</t>
  </si>
  <si>
    <t>BIBLE STUDY</t>
  </si>
  <si>
    <t>ABRAHAM SAMUEL D</t>
  </si>
  <si>
    <t>07069035417</t>
  </si>
  <si>
    <t>OJEBODE MORENIKEJI B</t>
  </si>
  <si>
    <t>08068889596</t>
  </si>
  <si>
    <t>kejiojebode@yahoo.com</t>
  </si>
  <si>
    <t xml:space="preserve">WELFARE </t>
  </si>
  <si>
    <t>AKINTAN MODESOLA</t>
  </si>
  <si>
    <t>07031886400</t>
  </si>
  <si>
    <t>prismod@yahoo.com</t>
  </si>
  <si>
    <t>OLOSUNDE TAIYE JOHN</t>
  </si>
  <si>
    <t>08169725207</t>
  </si>
  <si>
    <t>Jotinica@yahoo.com</t>
  </si>
  <si>
    <t>OLOMORO GOD'SPOWER</t>
  </si>
  <si>
    <t>07034374080</t>
  </si>
  <si>
    <t>gio4real2010@yahoo.com</t>
  </si>
  <si>
    <t>AJAYI TEMITOPE</t>
  </si>
  <si>
    <t>08103603676</t>
  </si>
  <si>
    <t>ABEGUNDE TOLULOPE</t>
  </si>
  <si>
    <t>08069391306</t>
  </si>
  <si>
    <t>IJAOLA OLUWATOMI</t>
  </si>
  <si>
    <t>08038134018</t>
  </si>
  <si>
    <t>graceevangelist@gmail.com</t>
  </si>
  <si>
    <t>JEGEDE KOLAPO</t>
  </si>
  <si>
    <t>08022413145</t>
  </si>
  <si>
    <t>jegedeolanoy_1@yahoo.com</t>
  </si>
  <si>
    <t>ADEOSUN OLABODE</t>
  </si>
  <si>
    <t>07036618522</t>
  </si>
  <si>
    <t>ALOBA TOWOJU</t>
  </si>
  <si>
    <t>07036384932</t>
  </si>
  <si>
    <t>EDUN AYOBAMI</t>
  </si>
  <si>
    <t>08132616880</t>
  </si>
  <si>
    <t>edun2014@gmail.com</t>
  </si>
  <si>
    <t>OGUNSANYA ADENIYI</t>
  </si>
  <si>
    <t>08062820303</t>
  </si>
  <si>
    <t>MACAULAY DAMILARE</t>
  </si>
  <si>
    <t>08137738844</t>
  </si>
  <si>
    <t>Daremacaulay@gmail.com</t>
  </si>
  <si>
    <t>THOTO BLESSING</t>
  </si>
  <si>
    <t>08032534625</t>
  </si>
  <si>
    <t>thoto50j@gmail.com</t>
  </si>
  <si>
    <t>YUSUF GBENGA</t>
  </si>
  <si>
    <t>08050522659</t>
  </si>
  <si>
    <t>OGUNJI ABOSEDE O</t>
  </si>
  <si>
    <t>08138492079</t>
  </si>
  <si>
    <t>abosedeogunji@gmail.com</t>
  </si>
  <si>
    <t>AZIKE CHINYERE</t>
  </si>
  <si>
    <t>08056854234</t>
  </si>
  <si>
    <t>chi.azike@yahoo.com</t>
  </si>
  <si>
    <t>AKRAN ABOSEDE M</t>
  </si>
  <si>
    <t>08103276726</t>
  </si>
  <si>
    <t>bosbyakran@gmail.com</t>
  </si>
  <si>
    <t>AKINWOLE SEUNFUNMI</t>
  </si>
  <si>
    <t>08036129008</t>
  </si>
  <si>
    <t>seungracea@yahoo.com</t>
  </si>
  <si>
    <t>AGBOALU ESTHER A</t>
  </si>
  <si>
    <t>07057614560</t>
  </si>
  <si>
    <t>OWOSENI TEMIDAYO</t>
  </si>
  <si>
    <t>08063266250</t>
  </si>
  <si>
    <t>purposevessel01@gmail.com</t>
  </si>
  <si>
    <t>ADEWUSI DIMEJI</t>
  </si>
  <si>
    <t>07065157424</t>
  </si>
  <si>
    <t>OBIDEYI BOLUWAJI DENNIS</t>
  </si>
  <si>
    <t>07030329909</t>
  </si>
  <si>
    <t>obideyiboluwaji@gmail.com</t>
  </si>
  <si>
    <t>OMOBOYEJE OYESANMI</t>
  </si>
  <si>
    <t>07035928888</t>
  </si>
  <si>
    <t>AWOLOLA OLAJUMOKE</t>
  </si>
  <si>
    <t>08032682376</t>
  </si>
  <si>
    <t>jummiepeace@yahoo.com</t>
  </si>
  <si>
    <t>AGBOOLA DAMILOLA</t>
  </si>
  <si>
    <t>08062431226</t>
  </si>
  <si>
    <t>darmy4god@yahoo.com</t>
  </si>
  <si>
    <t>LEKAN KEHINDE DAMILARE</t>
  </si>
  <si>
    <t>08076446403</t>
  </si>
  <si>
    <t>kennydam06@yahoo.co.uk</t>
  </si>
  <si>
    <t>OJERINDE TEMITOPE J</t>
  </si>
  <si>
    <t>07061945783</t>
  </si>
  <si>
    <t>AKINTARO KEMI</t>
  </si>
  <si>
    <t>08064696096</t>
  </si>
  <si>
    <t>kemsy05@yahoo.co.uk</t>
  </si>
  <si>
    <t>BANJO-OGUNLEYE T</t>
  </si>
  <si>
    <t>08038597001</t>
  </si>
  <si>
    <t>tellybrinkle@gmail.com</t>
  </si>
  <si>
    <t>OLULEYE ABIGEAL O</t>
  </si>
  <si>
    <t>08020699242</t>
  </si>
  <si>
    <t>bunmie4sure@rocketmail.com</t>
  </si>
  <si>
    <t>FATOGUN ABRAHAM</t>
  </si>
  <si>
    <t>08139470467</t>
  </si>
  <si>
    <t>waleakanfe@yahoo.com</t>
  </si>
  <si>
    <t>OLUWOLE FAITH</t>
  </si>
  <si>
    <t>08169641858</t>
  </si>
  <si>
    <t>alaberefolu23@yahoo.com</t>
  </si>
  <si>
    <t>AKANMU KAYODE</t>
  </si>
  <si>
    <t>08039143168</t>
  </si>
  <si>
    <t>contactdonmax@yahoo.com</t>
  </si>
  <si>
    <t>ADEWUSI BAYO</t>
  </si>
  <si>
    <t>thonie2460@yahoo.com</t>
  </si>
  <si>
    <t>AJAYI SEGUN O</t>
  </si>
  <si>
    <t>08060145557</t>
  </si>
  <si>
    <t>shagzzy01@yahoo.com</t>
  </si>
  <si>
    <t>AJETUNMOBI  ABIOLA</t>
  </si>
  <si>
    <t>07065313220</t>
  </si>
  <si>
    <t>habbybaby16@yahoo.com</t>
  </si>
  <si>
    <t>sege4luv99@gmail.com</t>
  </si>
  <si>
    <t>ABIODUN ADELEKAN</t>
  </si>
  <si>
    <t>08064369097</t>
  </si>
  <si>
    <t>Lekinfuska@yahoo.com</t>
  </si>
  <si>
    <t>SALIU AYODEJI A.</t>
  </si>
  <si>
    <t>08057580102</t>
  </si>
  <si>
    <t>AKINWALE OYINLOLUWA B</t>
  </si>
  <si>
    <t>08143846626</t>
  </si>
  <si>
    <t>FAKOREDE ELIJAH O.</t>
  </si>
  <si>
    <t>08068201883</t>
  </si>
  <si>
    <t>BABAYEMI OLUSESAN K</t>
  </si>
  <si>
    <t>08034801498</t>
  </si>
  <si>
    <t>righteounesskenny@gmail.com</t>
  </si>
  <si>
    <t>OYEWUMI SAMSON</t>
  </si>
  <si>
    <t>08037925716</t>
  </si>
  <si>
    <t>samvictor9055@yahoo.com</t>
  </si>
  <si>
    <t>OLAJUBUTU AYODELE M</t>
  </si>
  <si>
    <t>07037267391</t>
  </si>
  <si>
    <t>FANIYAN AKINTUNDE B.</t>
  </si>
  <si>
    <t>08100002957</t>
  </si>
  <si>
    <t>faniyanakintunde@gmail.com</t>
  </si>
  <si>
    <t>OMOTAYO BOLAJI R.</t>
  </si>
  <si>
    <t>08135357337</t>
  </si>
  <si>
    <t>now:johnalo001@gmail.com</t>
  </si>
  <si>
    <t>OYEKOLA OLADAPO M.</t>
  </si>
  <si>
    <t>07032026773</t>
  </si>
  <si>
    <t>dapson4cheers@gmail.com</t>
  </si>
  <si>
    <t>ADELEYE BOLUWAJI M.</t>
  </si>
  <si>
    <t>08069512193</t>
  </si>
  <si>
    <t>adebolu36@yahoo.com</t>
  </si>
  <si>
    <t>OBAKPOLOR ABIODUN</t>
  </si>
  <si>
    <t xml:space="preserve">MTS </t>
  </si>
  <si>
    <t>08153354018</t>
  </si>
  <si>
    <t>steph4bak@yahoo.com</t>
  </si>
  <si>
    <t>FALADE OLUWASEUN M.</t>
  </si>
  <si>
    <t>08130943396</t>
  </si>
  <si>
    <t>oluwaseunfalade72@yahoo.com</t>
  </si>
  <si>
    <t xml:space="preserve">ADENIYI EMMANUEL </t>
  </si>
  <si>
    <t>08034685830</t>
  </si>
  <si>
    <t>emmanuel4glory44@yahoo.com</t>
  </si>
  <si>
    <t>SUNDAY OLUSOLA A.</t>
  </si>
  <si>
    <t>SHOFOLABO OLUSEGUN</t>
  </si>
  <si>
    <t>08029296157</t>
  </si>
  <si>
    <t>shopolaboadewale@yahoo.com</t>
  </si>
  <si>
    <t>IJIBADEJO SAMSON D.</t>
  </si>
  <si>
    <t>08160931023</t>
  </si>
  <si>
    <t>kellyjeff00@yahoo.com</t>
  </si>
  <si>
    <t>TAIWO ANUNOLUWAPO S.</t>
  </si>
  <si>
    <t>07063283214</t>
  </si>
  <si>
    <t>samuel_taiwoanu@yahoo.com</t>
  </si>
  <si>
    <t>FALOWO GBEMINIYI</t>
  </si>
  <si>
    <t>08030789669</t>
  </si>
  <si>
    <t>gbemzeal@yahoo.com</t>
  </si>
  <si>
    <t>OLU-OJO EMMANUEL</t>
  </si>
  <si>
    <t>07039804206</t>
  </si>
  <si>
    <t>oluojoemmanuel@yahoo.com</t>
  </si>
  <si>
    <t>ADESOJI KOLAWOLE E.</t>
  </si>
  <si>
    <t>08032257675</t>
  </si>
  <si>
    <t>adesojikolawole@yahoo.com</t>
  </si>
  <si>
    <t>OGUNSUYI VICTOR A.</t>
  </si>
  <si>
    <t>08062278621</t>
  </si>
  <si>
    <t>victorogunsuyi@yahoo.com</t>
  </si>
  <si>
    <t>ADEYEMO DOLAPO P.</t>
  </si>
  <si>
    <t>07069324989</t>
  </si>
  <si>
    <t>dolly_boy01@yahoo.co.uk</t>
  </si>
  <si>
    <t xml:space="preserve">OYESORO BABATUNDE </t>
  </si>
  <si>
    <t>07039429891</t>
  </si>
  <si>
    <t>tunnez_zito_enit20@yahoo.com</t>
  </si>
  <si>
    <t>HEZEKIAH OMOTSUEBE</t>
  </si>
  <si>
    <t>08030501547</t>
  </si>
  <si>
    <t>hezecom@gmail.com</t>
  </si>
  <si>
    <t>OLARINMOYO OLAJIDE P</t>
  </si>
  <si>
    <t>07030620564</t>
  </si>
  <si>
    <t>captjopaul@yahoo.com</t>
  </si>
  <si>
    <t>ARIBANUSI FUNKE R</t>
  </si>
  <si>
    <t>07039436167</t>
  </si>
  <si>
    <t>funkkydee@yahoo.com</t>
  </si>
  <si>
    <t>OLAJIDE KEHINDE HENRY</t>
  </si>
  <si>
    <t>08024769109</t>
  </si>
  <si>
    <t>kennysimpson05@yahoo.com</t>
  </si>
  <si>
    <t>OLABOWALE OLUWASEYI J</t>
  </si>
  <si>
    <t>08161135350</t>
  </si>
  <si>
    <t>sheyyboiy4life@yahoo.com</t>
  </si>
  <si>
    <t>ALUKO ANUOLUWAPO O</t>
  </si>
  <si>
    <t>07037117218</t>
  </si>
  <si>
    <t>anulus4uall@yahoo.com</t>
  </si>
  <si>
    <t>OMONIJO ADENIKE H</t>
  </si>
  <si>
    <t>07030508752</t>
  </si>
  <si>
    <t>omonyoadenike@yahoo.com</t>
  </si>
  <si>
    <t>ADEDOJA SAMUEL A</t>
  </si>
  <si>
    <t>08068258458</t>
  </si>
  <si>
    <t>ledo_sam10@yahoo.com</t>
  </si>
  <si>
    <t>AKINRINLOLA OLUMIDE E</t>
  </si>
  <si>
    <t>07039597775</t>
  </si>
  <si>
    <t>ibitomiya1_4real@yahoo.com</t>
  </si>
  <si>
    <t>SALAMI ADEMOLA</t>
  </si>
  <si>
    <t>08025985680</t>
  </si>
  <si>
    <t>salami_ademola@yahoo.com</t>
  </si>
  <si>
    <t>OMISAKIN OLUSOLA</t>
  </si>
  <si>
    <t>08132749628</t>
  </si>
  <si>
    <t>sola4succes@rocketmail.com</t>
  </si>
  <si>
    <t>AKINRINLOLA OYINLADE M.</t>
  </si>
  <si>
    <t>08060481364</t>
  </si>
  <si>
    <t>oyinomoakin2000@yahoo.com</t>
  </si>
  <si>
    <t>ADEJOH EMMANUEL D.</t>
  </si>
  <si>
    <t>07060624655</t>
  </si>
  <si>
    <t>adejoh_emmanuel2000@yahoo.com</t>
  </si>
  <si>
    <t>ajibolaabiolaahmed@gmail.com</t>
  </si>
  <si>
    <t>ODEYEMI SAMSON O.</t>
  </si>
  <si>
    <t>08061510211</t>
  </si>
  <si>
    <t>walexdino111@yahoo.com</t>
  </si>
  <si>
    <t>MASANWOOLA MAYOWA</t>
  </si>
  <si>
    <t>07030590722</t>
  </si>
  <si>
    <t>mayusworld2003@yahoo.com</t>
  </si>
  <si>
    <t>DANIJU OLUSOLA</t>
  </si>
  <si>
    <t>08135908919</t>
  </si>
  <si>
    <t>OGUNTIMEHIN KAYODE</t>
  </si>
  <si>
    <t>07033167417</t>
  </si>
  <si>
    <t>six2kay@yahoo.com</t>
  </si>
  <si>
    <t>ABIOLA SHOLA</t>
  </si>
  <si>
    <t>07025767122</t>
  </si>
  <si>
    <t>OMOBOYE FEMI</t>
  </si>
  <si>
    <t>08131192666</t>
  </si>
  <si>
    <t>femoakenkolo@yahoo.com</t>
  </si>
  <si>
    <t>OLUWADARE TOSIN V.</t>
  </si>
  <si>
    <t>07061194935</t>
  </si>
  <si>
    <t>AWONUSI OLAJIDE A</t>
  </si>
  <si>
    <t>08066289557</t>
  </si>
  <si>
    <t>awonusiolajide@yahoo.com</t>
  </si>
  <si>
    <t>AKINWUNMI TEMITOPE</t>
  </si>
  <si>
    <t>08071058836</t>
  </si>
  <si>
    <t>topsonakinwumi@yahoo.com</t>
  </si>
  <si>
    <t>OLUBISOYE AYOTUNDE S</t>
  </si>
  <si>
    <t>08161103839</t>
  </si>
  <si>
    <t>samuelolubisose@yahoo.com</t>
  </si>
  <si>
    <t>BABAAGBA FEBISARA PEACE</t>
  </si>
  <si>
    <t>08132300331</t>
  </si>
  <si>
    <t>febibas@yahoo.com</t>
  </si>
  <si>
    <t>ADEKUNLE ADESOJI MARCUS</t>
  </si>
  <si>
    <t>08039490243</t>
  </si>
  <si>
    <t>adesojimarcus@yahoo.com</t>
  </si>
  <si>
    <t>OGUNLEYE GABRIEL A</t>
  </si>
  <si>
    <t xml:space="preserve">08060866181 </t>
  </si>
  <si>
    <t>gabo4success@yahoo.com</t>
  </si>
  <si>
    <t>JEGEDE OLUWATOMILOLA</t>
  </si>
  <si>
    <t>07031251811</t>
  </si>
  <si>
    <t>tjegzy21@gmail.com</t>
  </si>
  <si>
    <t>OLUDORO OLUWATOSIN</t>
  </si>
  <si>
    <t>08060406001</t>
  </si>
  <si>
    <t>temmycute25@yahoo.com</t>
  </si>
  <si>
    <t>MALIK OSHOS N</t>
  </si>
  <si>
    <t>07065949236</t>
  </si>
  <si>
    <t>malikoshos@yahoo.com</t>
  </si>
  <si>
    <t>AYO-OLOWO TAYE O</t>
  </si>
  <si>
    <t>08139042406</t>
  </si>
  <si>
    <t>kaloskeny@yahoo.com</t>
  </si>
  <si>
    <t>AZUBUIKE VALERIE</t>
  </si>
  <si>
    <t>08133262024</t>
  </si>
  <si>
    <t>valerizing4luv@yahoo.com</t>
  </si>
  <si>
    <t>YUSUF AYODELE</t>
  </si>
  <si>
    <t>WOLEMIWA TEMIDAYO</t>
  </si>
  <si>
    <t>07066227049</t>
  </si>
  <si>
    <t>TAIWO TIMILEYIN B</t>
  </si>
  <si>
    <t>08062465597</t>
  </si>
  <si>
    <t>POROYE MICHAEL</t>
  </si>
  <si>
    <t>08020306515</t>
  </si>
  <si>
    <t>mikkimonreal@yahoo.com</t>
  </si>
  <si>
    <t>OYESORO BABATUNDE</t>
  </si>
  <si>
    <t>OYEKOLA OLADAPO</t>
  </si>
  <si>
    <t>ORIRETAN BEATRICE</t>
  </si>
  <si>
    <t xml:space="preserve"> </t>
  </si>
  <si>
    <t>ORMOLADE OMOLARA</t>
  </si>
  <si>
    <t>07068950013</t>
  </si>
  <si>
    <t>ONIJIGUN GBENGA</t>
  </si>
  <si>
    <t>07060931775</t>
  </si>
  <si>
    <t>ONIBUDO OLUWASEGUN</t>
  </si>
  <si>
    <t>ONI AYODEJI</t>
  </si>
  <si>
    <t>08062408490</t>
  </si>
  <si>
    <t>OMOTOSO OLUWAMAYOWA</t>
  </si>
  <si>
    <t>07062284143</t>
  </si>
  <si>
    <t>ADEJUMO FUNSHO</t>
  </si>
  <si>
    <t>08066889977</t>
  </si>
  <si>
    <t>pinnaccle1992@yahoo.com</t>
  </si>
  <si>
    <t>OYESINA AYODEJI</t>
  </si>
  <si>
    <t>AJULO OLUWADUNSIN</t>
  </si>
  <si>
    <t>ALADE CAROLINE</t>
  </si>
  <si>
    <t>OMOLADE OMOLARA</t>
  </si>
  <si>
    <t>ADEDOKUN AYOBAMI</t>
  </si>
  <si>
    <t>LASISI OLUWATOYIN</t>
  </si>
  <si>
    <t>OJO OLUWATOBILOBA</t>
  </si>
  <si>
    <t>IDAHANGBON NOSA A.</t>
  </si>
  <si>
    <t>AJAYI FRANCIS</t>
  </si>
  <si>
    <t>LAWAL TEMITAYO</t>
  </si>
  <si>
    <t>CHUKWUKA NNEKA</t>
  </si>
  <si>
    <t>ADEBOWALE PHILIP</t>
  </si>
  <si>
    <t>BELLO OLUWASEGUN</t>
  </si>
  <si>
    <t>EKPENYONG EFIOK EVO</t>
  </si>
  <si>
    <t>EBHOHIMEN TOLULOPE</t>
  </si>
  <si>
    <t>AKINROLABI OLUWAKEMI</t>
  </si>
  <si>
    <t>OGUNDAIRO SUNDAY K.</t>
  </si>
  <si>
    <t>ogundairosunday@yahoo.com</t>
  </si>
  <si>
    <t>JOHNSON GBENGA</t>
  </si>
  <si>
    <t>Jgbenga50@yahoo.com</t>
  </si>
  <si>
    <t>OKE FUNKE M.</t>
  </si>
  <si>
    <t>m2funky88@yahoo.com</t>
  </si>
  <si>
    <t>ANIBABA PAUL O.</t>
  </si>
  <si>
    <t>anibabapaul@yahoo.com</t>
  </si>
  <si>
    <t>JIMOH BABATUNDE</t>
  </si>
  <si>
    <t>tundex4joy@yahoo.com</t>
  </si>
  <si>
    <t>ADEDEJI EZEKIEL T.</t>
  </si>
  <si>
    <t>adedejiezekiel28@yahoo.com</t>
  </si>
  <si>
    <t>FASUSI OLUWATOYIN</t>
  </si>
  <si>
    <t>debbyfasusi@yahoo.com</t>
  </si>
  <si>
    <t>IKUNIKA OPEOLUWA</t>
  </si>
  <si>
    <t>pixtolex2009@yahoo.com</t>
  </si>
  <si>
    <t>OSAWMONYI OSAS</t>
  </si>
  <si>
    <t>jojoasa2@yahoo.com</t>
  </si>
  <si>
    <t>ODUDU BAMIJOKO</t>
  </si>
  <si>
    <t>Bahme.abe125@gmail.com</t>
  </si>
  <si>
    <r>
      <rPr>
        <b/>
        <sz val="11"/>
        <color rgb="FF000000"/>
        <rFont val="AR CENA"/>
      </rPr>
      <t xml:space="preserve">                                             </t>
    </r>
    <r>
      <rPr>
        <b/>
        <u/>
        <sz val="11"/>
        <color rgb="FF000000"/>
        <rFont val="AR CENA"/>
      </rPr>
      <t>A NEW CREATURE GENERATION 2013/2014</t>
    </r>
  </si>
  <si>
    <r>
      <rPr>
        <b/>
        <sz val="12"/>
        <color rgb="FF000000"/>
        <rFont val="AR CENA"/>
      </rPr>
      <t xml:space="preserve">                                                           </t>
    </r>
    <r>
      <rPr>
        <b/>
        <u/>
        <sz val="12"/>
        <color rgb="FF000000"/>
        <rFont val="AR CENA"/>
      </rPr>
      <t>GOD'S OWN PEOPLE FAMILY</t>
    </r>
  </si>
  <si>
    <r>
      <rPr>
        <b/>
        <sz val="12"/>
        <color rgb="FF000000"/>
        <rFont val="AR CENA"/>
      </rPr>
      <t xml:space="preserve">                                              </t>
    </r>
    <r>
      <rPr>
        <b/>
        <u/>
        <sz val="12"/>
        <color rgb="FF000000"/>
        <rFont val="AR CENA"/>
      </rPr>
      <t>TRESS OF RIGTEOUSNESS FAMILY</t>
    </r>
  </si>
  <si>
    <r>
      <rPr>
        <b/>
        <sz val="12"/>
        <color rgb="FF000000"/>
        <rFont val="AR CENA"/>
      </rPr>
      <t xml:space="preserve">                                                   </t>
    </r>
    <r>
      <rPr>
        <b/>
        <u/>
        <sz val="12"/>
        <color rgb="FF000000"/>
        <rFont val="AR CENA"/>
      </rPr>
      <t xml:space="preserve"> MASTER'S VESSELS FAMILY</t>
    </r>
  </si>
  <si>
    <r>
      <rPr>
        <b/>
        <sz val="11"/>
        <color rgb="FF000000"/>
        <rFont val="AR CENA"/>
      </rPr>
      <t xml:space="preserve">                             </t>
    </r>
    <r>
      <rPr>
        <b/>
        <u/>
        <sz val="11"/>
        <color rgb="FF000000"/>
        <rFont val="AR CENA"/>
      </rPr>
      <t xml:space="preserve"> BEHOLD THE KINDOM OF GOD GENERATION 2012/2013</t>
    </r>
  </si>
  <si>
    <t>S/NO</t>
  </si>
  <si>
    <t>FACEBOOK ID</t>
  </si>
  <si>
    <t>PHONE NO</t>
  </si>
  <si>
    <t>ALTERNATE PHONE NO</t>
  </si>
  <si>
    <t>CURRENT HOME ADDY</t>
  </si>
  <si>
    <t>CURRENT EMPLOYER AND ADDRESS</t>
  </si>
  <si>
    <t>STATE OF ORIGIN</t>
  </si>
  <si>
    <t>Marital Status</t>
  </si>
  <si>
    <t>BB Pin</t>
  </si>
  <si>
    <t>Skype ID</t>
  </si>
  <si>
    <t>Taiwo Babatunde</t>
  </si>
  <si>
    <t>Adesuyi O. Samuel (Prince)</t>
  </si>
  <si>
    <t>Prince sam' Odunayo Adesuyi</t>
  </si>
  <si>
    <t>House 7, Dietake drive, Opkanam rd Asaba, Delta State</t>
  </si>
  <si>
    <t>NYSC/ Association of Senior Civil Servant</t>
  </si>
  <si>
    <t>Osun</t>
  </si>
  <si>
    <t>Engaged</t>
  </si>
  <si>
    <t>Oni Temitope</t>
  </si>
  <si>
    <t>Kansas city, Missouri, United State of America</t>
  </si>
  <si>
    <t>Ekiti</t>
  </si>
  <si>
    <t>Omogunwa Babajide</t>
  </si>
  <si>
    <t>Felele, Ibadan</t>
  </si>
  <si>
    <t>Ondo</t>
  </si>
  <si>
    <t>Omotayo Tosin</t>
  </si>
  <si>
    <t>Oyeniran Oluwabunmi</t>
  </si>
  <si>
    <t>Magodo Phase II, Lagos</t>
  </si>
  <si>
    <t>Married</t>
  </si>
  <si>
    <t>Osalusi Babatunde</t>
  </si>
  <si>
    <t>Ajayi Olugbenga</t>
  </si>
  <si>
    <t>AB 13,Bolorunduro street, Ikole Ekiti</t>
  </si>
  <si>
    <t>Oyeyipo Temitope Funmi</t>
  </si>
  <si>
    <t>Akinola Tayelolu V.</t>
  </si>
  <si>
    <t>1, Johnson Fatukasi Str, Oda road, Akure</t>
  </si>
  <si>
    <t>Oginni Olakunle</t>
  </si>
  <si>
    <t>27, Aganga-william Str, Ogba-ifako, Lagos</t>
  </si>
  <si>
    <t>Oni S. Oluwalayo</t>
  </si>
  <si>
    <t>Ketu, Lagos</t>
  </si>
  <si>
    <t>Mustapha Mahmud O.</t>
  </si>
  <si>
    <t>de'concepts08@yahoo.com</t>
  </si>
  <si>
    <t>Obienwe Amechi E.C</t>
  </si>
  <si>
    <t>prince Amechi obienwe</t>
  </si>
  <si>
    <t>obienwe.amechi@yahoo.com,obienwe.amechi@gmail.com,kastrofigure@yahoo.co.uk</t>
  </si>
  <si>
    <t>08051778162, 07029029078</t>
  </si>
  <si>
    <t>W38A Federal housing kubwa, Abuja</t>
  </si>
  <si>
    <t>Ministry of Agric &amp; rural development Abuja</t>
  </si>
  <si>
    <t>Delta</t>
  </si>
  <si>
    <t>obienwe.amechi1</t>
  </si>
  <si>
    <t>Odewale Temitope</t>
  </si>
  <si>
    <t>Plot 4, Olufemi Odewale Street, Alakia , Ibadan</t>
  </si>
  <si>
    <t>Olaiya Olatunji</t>
  </si>
  <si>
    <t>Akure City</t>
  </si>
  <si>
    <t>Ajayi Olusegun M.</t>
  </si>
  <si>
    <t>26, Ifekoya str, Dopemu, Agege, Lagos</t>
  </si>
  <si>
    <t>Falona Rotimi</t>
  </si>
  <si>
    <t>Balogun Olabisi</t>
  </si>
  <si>
    <t>No. 44, Omotto Line 2, Ile-Ife</t>
  </si>
  <si>
    <t>Momoh Belove O.</t>
  </si>
  <si>
    <t>Ibadan</t>
  </si>
  <si>
    <t>Kogi</t>
  </si>
  <si>
    <t>Kudehinbu W. Taiwo</t>
  </si>
  <si>
    <t>37 , Oyedele Ogunniyi Street, Anthony, Lagos State</t>
  </si>
  <si>
    <t>Adedeji Funmi</t>
  </si>
  <si>
    <t>20, Fola falusi Str, Ajegunle, Lagos</t>
  </si>
  <si>
    <t>Alabi Olukemi Eunice</t>
  </si>
  <si>
    <t>Okunlola Fiyinfoluwa</t>
  </si>
  <si>
    <t>simiade4may</t>
  </si>
  <si>
    <t>fiyin.okunlola@yahoo.com, fiyin.okunlola@gmail.com</t>
  </si>
  <si>
    <t>6, Titilayo street, orile oshodi</t>
  </si>
  <si>
    <t>precise financial systems, Ebutte metta</t>
  </si>
  <si>
    <t>Oyo</t>
  </si>
  <si>
    <t>30bec14b</t>
  </si>
  <si>
    <t>Aiyesa Olatunde</t>
  </si>
  <si>
    <t>TGP Estate, Ikorodu, Lagos State</t>
  </si>
  <si>
    <t>Adamolekun Tunde</t>
  </si>
  <si>
    <t>8, irakun quatres</t>
  </si>
  <si>
    <t>Olisa Adewale K.</t>
  </si>
  <si>
    <t>Ajegunle, Lagos</t>
  </si>
  <si>
    <t>Ogun</t>
  </si>
  <si>
    <t>Ajibola Temidayo</t>
  </si>
  <si>
    <t>temmyfingerz</t>
  </si>
  <si>
    <t>No 15 Egin Street, Ojodu Berger, Lagos</t>
  </si>
  <si>
    <t>Single</t>
  </si>
  <si>
    <t>Adisa Oluwafemi A.</t>
  </si>
  <si>
    <t>Oluwafemi O'femi A</t>
  </si>
  <si>
    <t>Idmon Engn'g and Constn Coy. Guest House, Evoc Yard Enerhen Warri.</t>
  </si>
  <si>
    <t>Idmon Engn'g and Constr. Coy. Warri</t>
  </si>
  <si>
    <t>28C9F824</t>
  </si>
  <si>
    <t>femmyland</t>
  </si>
  <si>
    <t>Nkwuka Chinedu</t>
  </si>
  <si>
    <t>08088437682, 08077285137</t>
  </si>
  <si>
    <t>68, Ibrahim Taiwo rd, Offa, Kwara State</t>
  </si>
  <si>
    <t>Olaleye Shalom</t>
  </si>
  <si>
    <t>Adeoba Oyenike Mary</t>
  </si>
  <si>
    <t>6, Oke Alaafia west, Ile-Oluji, Ondo state</t>
  </si>
  <si>
    <t>Adesuyi Tosin</t>
  </si>
  <si>
    <t>4, Adesuyi Str, Okoko, Badagry Expressway, Lagos</t>
  </si>
  <si>
    <t>Odanye Bunmi</t>
  </si>
  <si>
    <t>6, peace&amp;progress str, blue avenue, Boda, Akobo, Ibadan</t>
  </si>
  <si>
    <t>Odewole Tomiwa</t>
  </si>
  <si>
    <t>osun</t>
  </si>
  <si>
    <t>Areola Ifeoluwa O.</t>
  </si>
  <si>
    <t>Jad House, Iye Hospital Junction, Falana, Ibadan</t>
  </si>
  <si>
    <t>ekiti</t>
  </si>
  <si>
    <t>Ayodele Ayodeji T.</t>
  </si>
  <si>
    <t>Agbado Road, Behind General Hospital,Ise-Ekiti</t>
  </si>
  <si>
    <t>Akinnibi Olufemi V.</t>
  </si>
  <si>
    <t>40, Idowu Ademiluyi str, adiyan road, alagbado, Lagos</t>
  </si>
  <si>
    <t>Igbe Tobore</t>
  </si>
  <si>
    <t>plot 3&amp;4 Hon Femi Bello Strt. Alagbaka GRA phase II</t>
  </si>
  <si>
    <t>delta</t>
  </si>
  <si>
    <t>Amoo-Onidundu, Adedoyin (nee Haastrup)</t>
  </si>
  <si>
    <t>Adedoyin Amoo Onidundu</t>
  </si>
  <si>
    <t>08030751090, 08099566339</t>
  </si>
  <si>
    <t>5, Alabi Street, Orogun, Ibadan.</t>
  </si>
  <si>
    <t>deledoyin</t>
  </si>
  <si>
    <t>Olomo Omotola</t>
  </si>
  <si>
    <t>No 12, Olagoke Akano Close, Abayomi, Iwo Road, Ibadan</t>
  </si>
  <si>
    <t>Betiku Olakunle S.</t>
  </si>
  <si>
    <t>12, rd4, Bolorunduro, Oke-Are, Idanre garage, Akure</t>
  </si>
  <si>
    <t>Adelugba Omolara</t>
  </si>
  <si>
    <t>No 22, Ilore Street, Ootunja, Ikole-Ekiti</t>
  </si>
  <si>
    <t>Oluwaleye Adeleke</t>
  </si>
  <si>
    <t>Aderinluwo Kemi E.</t>
  </si>
  <si>
    <t>4, Funbi Fagun Crescent, Ondo, Ondo State</t>
  </si>
  <si>
    <t>Asogbon Mojisola G.</t>
  </si>
  <si>
    <t>28, Talke str, Ikosi Ketu, Lagos</t>
  </si>
  <si>
    <t>Owobumuyi Tolulope</t>
  </si>
  <si>
    <t>tolulope.owobumuyi</t>
  </si>
  <si>
    <t>No 126, Ajala Street, Off Western Reservoir, Ilorin</t>
  </si>
  <si>
    <t>Silver Babim LTD</t>
  </si>
  <si>
    <t>Adeyemi Adelayo T.</t>
  </si>
  <si>
    <t>Adesina Busola</t>
  </si>
  <si>
    <t>Adedeji Estate, Ugbe Ikare Akoko</t>
  </si>
  <si>
    <t>Durojaye Titilope</t>
  </si>
  <si>
    <t>W2/70, Ilore Quarters, Ootunja Ekiti, Ikole-Ekiti, Ekiti</t>
  </si>
  <si>
    <t>Emasailue Godwin</t>
  </si>
  <si>
    <t>3, akporobaro str, off new road, Otor-Owhe, Isoko North</t>
  </si>
  <si>
    <t>Babalola Damilola. O</t>
  </si>
  <si>
    <t>22, Solagbade close, off Aule Rd, Akure</t>
  </si>
  <si>
    <t>Olatominrin Ololade</t>
  </si>
  <si>
    <t>20/22, Shoneye Str, Adura, Alagbado, Lagos</t>
  </si>
  <si>
    <t>Ojo Sarah Abosede</t>
  </si>
  <si>
    <t>20, Oshipitan Street, Bariga, Lagos</t>
  </si>
  <si>
    <t>Oladipo Oladiran Solomon</t>
  </si>
  <si>
    <t>NIPOST Quarters, Hotoro GRA, Kano</t>
  </si>
  <si>
    <t>Adedoyin James Adebisi</t>
  </si>
  <si>
    <t>14, Kadiri Street, Oniwaya rd, Lagos</t>
  </si>
  <si>
    <t>kj-branding</t>
  </si>
  <si>
    <t>SINGLE</t>
  </si>
  <si>
    <t>285FB788</t>
  </si>
  <si>
    <t>kj-adedoyin</t>
  </si>
  <si>
    <t>Abodunrin Babajide B.</t>
  </si>
  <si>
    <t>No 12, makanjuola estate,Off Dogo Bus-stop, Apata, Ibadan, Oyo</t>
  </si>
  <si>
    <t>Akinmuleya Sumbo</t>
  </si>
  <si>
    <t>8, Imam Raimi Str, Sabo, yaba</t>
  </si>
  <si>
    <t>Adeyemo A.A</t>
  </si>
  <si>
    <t>Adegoke Olaoluwa A.</t>
  </si>
  <si>
    <t>P168, Ikoyi Street, Ilesa, Osun State</t>
  </si>
  <si>
    <t>Oladuji Yewande F.</t>
  </si>
  <si>
    <t>21, Alhaji Jimoh Sadiq Street, Igando, Ikotun</t>
  </si>
  <si>
    <t>Akinmabogunje Niyi</t>
  </si>
  <si>
    <t>Orita Obele, Akure</t>
  </si>
  <si>
    <t>Macaulay Babajide Milton</t>
  </si>
  <si>
    <t>macaulay babajide milton</t>
  </si>
  <si>
    <t>mclonex@yahoo.com/babajidemacaulay@gmail.com</t>
  </si>
  <si>
    <t>6, Abeni Balogun close, Abule Egba U.turn, Lagos</t>
  </si>
  <si>
    <t>Lagos</t>
  </si>
  <si>
    <t>Fagborun Tunmise</t>
  </si>
  <si>
    <t>Ayo-Okunola str, off Akinlard, Ipetumodu, Osun State</t>
  </si>
  <si>
    <t>Adewale Shofolabo</t>
  </si>
  <si>
    <t>2, Oba Patola, str, Iko</t>
  </si>
  <si>
    <t>Osatuyi Olusola</t>
  </si>
  <si>
    <t>107,Ebenezer Akintunji Str,Ikotun, Lagos</t>
  </si>
  <si>
    <t>Abe John</t>
  </si>
  <si>
    <t>18, Fagbemi Str, Oja B/stop, Ipaja Lagos</t>
  </si>
  <si>
    <t>Olagunju Benson</t>
  </si>
  <si>
    <t>Mowe, Ogun State</t>
  </si>
  <si>
    <t>Famakin Lanre S.</t>
  </si>
  <si>
    <t>23, Dauda str, Oshodi,lagos</t>
  </si>
  <si>
    <t>Jebutu Olawale</t>
  </si>
  <si>
    <t>18, Jebutu Street, Agodo-Egbe, Ikotun, Lagos</t>
  </si>
  <si>
    <t>Kuye Babatunde A.</t>
  </si>
  <si>
    <t>17, Kuye str, Ikoya, Okitipupa, Ondo</t>
  </si>
  <si>
    <t>Akinfolarin Olusanya</t>
  </si>
  <si>
    <t>Block 42, Flat 4, Ojokoro Estate, :eiran B/stop, Lagos</t>
  </si>
  <si>
    <t>Dada Adeyinka</t>
  </si>
  <si>
    <t>9, Alhaji Olorunyonusi Street, Alagbole-Akute, Ojodu, Lagos</t>
  </si>
  <si>
    <t>Ipaye Daniel A.</t>
  </si>
  <si>
    <t>Olofinlade Funbi O.</t>
  </si>
  <si>
    <t>Yode Owolade Adedotun</t>
  </si>
  <si>
    <t>adedotunyode@yahoo.com, dotmant@gmail.com</t>
  </si>
  <si>
    <t>08184944058, 08154732953</t>
  </si>
  <si>
    <t>No 6b, Church Road, Uyo, Aks</t>
  </si>
  <si>
    <t>Beulah International School, Etinan, Aks</t>
  </si>
  <si>
    <t>single</t>
  </si>
  <si>
    <t>21a06f10</t>
  </si>
  <si>
    <t>dotun.yode</t>
  </si>
  <si>
    <t>Monehin Peter Segun</t>
  </si>
  <si>
    <t>20, Okeraye Street, Okiti pupa, Ondo State</t>
  </si>
  <si>
    <t>Bayode Kehinde</t>
  </si>
  <si>
    <t>No 4, Bayode Street, Adunoye, Akure</t>
  </si>
  <si>
    <t>Akinbiosose Oluyemi C.</t>
  </si>
  <si>
    <t>4, Victoria Str, Egdeda Akowonjo, Lagos</t>
  </si>
  <si>
    <t>Tijani Funmi</t>
  </si>
  <si>
    <t>19, holmes str, liasu rd, ikotun egbe, Lagos</t>
  </si>
  <si>
    <t>Obideji Olaoluwa A.</t>
  </si>
  <si>
    <t>Ogunniran M. Kayode</t>
  </si>
  <si>
    <t>oguns4ril@yahoo.co.uk, ogunnirankayode@yahoo.com</t>
  </si>
  <si>
    <t>Block C5, Otunba Gbenga Daniel Estate, Ota</t>
  </si>
  <si>
    <t>Oyakhilome Michael</t>
  </si>
  <si>
    <t>15, Ayodele Shittu Str, Ikotun, Lagos</t>
  </si>
  <si>
    <t>Edo</t>
  </si>
  <si>
    <t>Ilesanmi Olusegun I.</t>
  </si>
  <si>
    <t>26, Ope Agbe str, Oke-Odo, Lagos</t>
  </si>
  <si>
    <t>Jegede Olakunle</t>
  </si>
  <si>
    <t>12, Home Science Avenue, Abule Egba Lagos</t>
  </si>
  <si>
    <t>Osungbaro Adeyinka</t>
  </si>
  <si>
    <t>Afolabi Opeyemi</t>
  </si>
  <si>
    <t>Alakia Isebo, Ibadan</t>
  </si>
  <si>
    <t>Onun Gift K.</t>
  </si>
  <si>
    <t>28 Martins Street Abuleijesha Shomolu Lagos</t>
  </si>
  <si>
    <t>Main One Cable Company Laura Stephen b/stop Ajah</t>
  </si>
  <si>
    <t>Crossriver</t>
  </si>
  <si>
    <t>Akinmoladun Tope O.</t>
  </si>
  <si>
    <t>Akinde Bunmi P.</t>
  </si>
  <si>
    <t>136, Ajasa Estate or Ajasa Commnd Road</t>
  </si>
  <si>
    <t>Awoyemi Afolabi O.</t>
  </si>
  <si>
    <t>Emmanuel College, BM04, Omi Asoro, Ilesa</t>
  </si>
  <si>
    <t>Ogunmilade Joseph O.</t>
  </si>
  <si>
    <t>8, Remo Comm. Str, GRA, Sagamu</t>
  </si>
  <si>
    <t>Agboola Tomiwa</t>
  </si>
  <si>
    <t>Plot 33, Blk 34, Oluyide Est, Ring road, Ibadan</t>
  </si>
  <si>
    <t>Olaoye Samuel</t>
  </si>
  <si>
    <t>Osunkunle str, Sawmill, Ibadan</t>
  </si>
  <si>
    <t>Oyedotun Oluwatoyin E</t>
  </si>
  <si>
    <t>5, Lawal Close-Uturn B/stop, Abule Egba</t>
  </si>
  <si>
    <t>Owonifari Olusegun E</t>
  </si>
  <si>
    <t>29,Temidare Qrtrs Oluwatuyi Est. off Orita Obele road, Akure</t>
  </si>
  <si>
    <t>Azike uchenna N.</t>
  </si>
  <si>
    <t>18, Ahoyaya Layout NIHORT Rd, Ile tuntun , Ibadan</t>
  </si>
  <si>
    <t>Abia</t>
  </si>
  <si>
    <t>Olomiyesan Durojaye</t>
  </si>
  <si>
    <t>13, Oloto Rd, Ilu Titun, Osoro</t>
  </si>
  <si>
    <t>Aro Oluwabukola</t>
  </si>
  <si>
    <t>bukolaseun@gmail.com</t>
  </si>
  <si>
    <t>6, Ifepade Street, Oshinle Qtrs, Akure</t>
  </si>
  <si>
    <t>Fatunmole Oluronke</t>
  </si>
  <si>
    <t>10,Rufai str, Oloruntoba, Akobo, Ibadan</t>
  </si>
  <si>
    <t>Osadare Ebenezer O.</t>
  </si>
  <si>
    <t>Ayedero Victor</t>
  </si>
  <si>
    <t>Adesanmi Victor Adeolu</t>
  </si>
  <si>
    <t>No 7, Funmi Woye Street, Olodo, Ibadan, Oyo State</t>
  </si>
  <si>
    <t>Owojori Fadekemi A</t>
  </si>
  <si>
    <t>Blk Q, Plot 3, Apatapiti Layout near FUTA South gate, Akure, Ondo</t>
  </si>
  <si>
    <t>Onwuka Juliet</t>
  </si>
  <si>
    <t>3, Efopakoko Str, Off Burknor Jakande Est.</t>
  </si>
  <si>
    <t>anambra</t>
  </si>
  <si>
    <t>Ajele Omolarami Olusola</t>
  </si>
  <si>
    <t>Omolarami Ajele</t>
  </si>
  <si>
    <t>5, Dimeji Alo Street, Lekki Phase 1, Lagos</t>
  </si>
  <si>
    <t>Jumia - 15, Wole Olateju Street, Lekki Phase 1</t>
  </si>
  <si>
    <t>23A11812</t>
  </si>
  <si>
    <t>ajele.omolarami</t>
  </si>
  <si>
    <t>Adedeji Adenike V.</t>
  </si>
  <si>
    <t>Oni Taiwo, O</t>
  </si>
  <si>
    <t>Block 100, Flat 1, LSPDC, Lagos</t>
  </si>
  <si>
    <t>Kofoworola Oluwayemisi Joke</t>
  </si>
  <si>
    <t>36, Obasa Str, Giwa Iju Ishaga, Lagos</t>
  </si>
  <si>
    <t>Olowola Olumide</t>
  </si>
  <si>
    <t>10, Olatinwo Olaifa Close, Eleyele, Ibadan, Oyo State</t>
  </si>
  <si>
    <t>Bolarinwa Oluwaseyi A.</t>
  </si>
  <si>
    <t>Omole Olumuyiwa Niyi</t>
  </si>
  <si>
    <t>No 205, Moferere Estate, Ado Ekiti</t>
  </si>
  <si>
    <t>Omogunlaye Olusegun Yemi</t>
  </si>
  <si>
    <t>No 8, Surulere Street, Off Hospital Road, Sabonii Road, Ode-Irele, Ondo State</t>
  </si>
  <si>
    <t>Fakorede Oluwaseun</t>
  </si>
  <si>
    <t>30, efusoju str, off Aiyepe Rd, Sagamu</t>
  </si>
  <si>
    <t>Esan Oyedele Olalekan</t>
  </si>
  <si>
    <t>75, Shipeolu Street, Bakare Bus stop, Palm-groove, Lagos</t>
  </si>
  <si>
    <t>Oshunubi Oladimeji</t>
  </si>
  <si>
    <t>Merayebu Segun</t>
  </si>
  <si>
    <t>71, Okota Road, Isolo, Lagos</t>
  </si>
  <si>
    <t>Ekperusi Joshua A.</t>
  </si>
  <si>
    <t>2, Benson str, Benin</t>
  </si>
  <si>
    <t>Williams Babajide</t>
  </si>
  <si>
    <t>Megbowon Omolere</t>
  </si>
  <si>
    <t>Obolo Olanrewaju</t>
  </si>
  <si>
    <t>Bonny Camp, V/I, Lagos</t>
  </si>
  <si>
    <t>Ojo olusola</t>
  </si>
  <si>
    <t>9, Omosola Adeleke Close, Off CMDRD, Old tollgate, Lagos</t>
  </si>
  <si>
    <t>Dada Ajibola Abisoye</t>
  </si>
  <si>
    <t>7 Toun Femi Dada str, Emmanuel B/stop, Governor's Road, Ikotun Lagos.</t>
  </si>
  <si>
    <t>Fatayo Imoleayo T.</t>
  </si>
  <si>
    <t>fatayo imoleayo</t>
  </si>
  <si>
    <t>f.imoleayo@gmail.com</t>
  </si>
  <si>
    <t>no21 budland street, grammer sch bus stop, ojodu bager.</t>
  </si>
  <si>
    <t>PSL engineering and control</t>
  </si>
  <si>
    <t>ogun</t>
  </si>
  <si>
    <t>single i guess</t>
  </si>
  <si>
    <t>28bf8d99</t>
  </si>
  <si>
    <t>haywhy3</t>
  </si>
  <si>
    <t>Lawani Olabisi B.</t>
  </si>
  <si>
    <t>olabisilawani</t>
  </si>
  <si>
    <t>20,Jegede Asimigbo,Oke-Oba,Lafe Inn,Akure</t>
  </si>
  <si>
    <t>Fapetu Abimbola</t>
  </si>
  <si>
    <t>Adeyeye Yemi O.</t>
  </si>
  <si>
    <t>Yemi Olaonipekun Adeyeye</t>
  </si>
  <si>
    <t>adeyeye_yemi@yahoo.com, yemi.ifsa@gmail.com</t>
  </si>
  <si>
    <t>Ibadan, Nigeria.</t>
  </si>
  <si>
    <t>yemi_adeyeye</t>
  </si>
  <si>
    <r>
      <rPr>
        <b/>
        <sz val="11"/>
        <color rgb="FF000000"/>
        <rFont val="AR CENA"/>
      </rPr>
      <t xml:space="preserve">                                             </t>
    </r>
    <r>
      <rPr>
        <b/>
        <u/>
        <sz val="11"/>
        <color rgb="FF000000"/>
        <rFont val="AR CENA"/>
      </rPr>
      <t xml:space="preserve"> BEAUTIES OF HOLINESS GENERATION 2010/2011</t>
    </r>
  </si>
  <si>
    <r>
      <rPr>
        <b/>
        <sz val="12"/>
        <color rgb="FF000000"/>
        <rFont val="AR CENA"/>
      </rPr>
      <t xml:space="preserve">                                                                 </t>
    </r>
    <r>
      <rPr>
        <b/>
        <u/>
        <sz val="12"/>
        <color rgb="FF000000"/>
        <rFont val="AR CENA"/>
      </rPr>
      <t xml:space="preserve"> ISSACHAR  FAMILY</t>
    </r>
  </si>
  <si>
    <r>
      <rPr>
        <b/>
        <sz val="11"/>
        <color rgb="FF000000"/>
        <rFont val="AR CENA"/>
      </rPr>
      <t xml:space="preserve">                                        A NEW CONVENANT GEN</t>
    </r>
    <r>
      <rPr>
        <b/>
        <u/>
        <sz val="11"/>
        <color rgb="FF000000"/>
        <rFont val="AR CENA"/>
      </rPr>
      <t>ERATION 2009/2010</t>
    </r>
  </si>
  <si>
    <r>
      <rPr>
        <b/>
        <sz val="11"/>
        <color rgb="FF000000"/>
        <rFont val="AR CENA"/>
      </rPr>
      <t xml:space="preserve">                                             </t>
    </r>
    <r>
      <rPr>
        <b/>
        <u/>
        <sz val="11"/>
        <color rgb="FF000000"/>
        <rFont val="AR CENA"/>
      </rPr>
      <t xml:space="preserve"> HIS GRACE GENERATION 2006/2007</t>
    </r>
  </si>
  <si>
    <r>
      <rPr>
        <b/>
        <sz val="11"/>
        <color rgb="FF000000"/>
        <rFont val="AR CENA"/>
      </rPr>
      <t xml:space="preserve">                                             </t>
    </r>
    <r>
      <rPr>
        <b/>
        <u/>
        <sz val="11"/>
        <color rgb="FF000000"/>
        <rFont val="AR CENA"/>
      </rPr>
      <t xml:space="preserve"> BUT THE GREATEST IS LOVE GENERATION 2005/2006</t>
    </r>
  </si>
  <si>
    <t>ENLONGATION OF 2000/2001 TENURE CAUSED BY STRIKE</t>
  </si>
  <si>
    <t>(ASSU STRIKE- 1YEAR)</t>
  </si>
  <si>
    <r>
      <rPr>
        <b/>
        <sz val="11"/>
        <color rgb="FF000000"/>
        <rFont val="AR CENA"/>
      </rPr>
      <t xml:space="preserve">                                             </t>
    </r>
    <r>
      <rPr>
        <b/>
        <u/>
        <sz val="11"/>
        <color rgb="FF000000"/>
        <rFont val="AR CENA"/>
      </rPr>
      <t xml:space="preserve"> IN THE POTTERS HAND GENERATION 2002/2003</t>
    </r>
  </si>
  <si>
    <r>
      <rPr>
        <b/>
        <sz val="12"/>
        <color rgb="FF000000"/>
        <rFont val="AR CENA"/>
      </rPr>
      <t xml:space="preserve">                                                                 </t>
    </r>
    <r>
      <rPr>
        <b/>
        <u/>
        <sz val="12"/>
        <color rgb="FF000000"/>
        <rFont val="AR CENA"/>
      </rPr>
      <t xml:space="preserve"> ……………….  FAMILY</t>
    </r>
  </si>
  <si>
    <r>
      <rPr>
        <b/>
        <sz val="11"/>
        <color rgb="FF000000"/>
        <rFont val="AR CENA"/>
      </rPr>
      <t xml:space="preserve">                                             </t>
    </r>
    <r>
      <rPr>
        <b/>
        <u/>
        <sz val="11"/>
        <color rgb="FF000000"/>
        <rFont val="AR CENA"/>
      </rPr>
      <t xml:space="preserve"> IN HIS PRESENCE GENERATION 2004/2005</t>
    </r>
  </si>
  <si>
    <r>
      <rPr>
        <b/>
        <sz val="12"/>
        <color rgb="FF000000"/>
        <rFont val="AR CENA"/>
      </rPr>
      <t xml:space="preserve">                                                                 </t>
    </r>
    <r>
      <rPr>
        <b/>
        <u/>
        <sz val="12"/>
        <color rgb="FF000000"/>
        <rFont val="AR CENA"/>
      </rPr>
      <t xml:space="preserve"> ………………. FAMILY</t>
    </r>
  </si>
  <si>
    <r>
      <rPr>
        <b/>
        <sz val="12"/>
        <color rgb="FF000000"/>
        <rFont val="AR CENA"/>
      </rPr>
      <t xml:space="preserve">                                                                 </t>
    </r>
    <r>
      <rPr>
        <b/>
        <u/>
        <sz val="12"/>
        <color rgb="FF000000"/>
        <rFont val="AR CENA"/>
      </rPr>
      <t xml:space="preserve"> ………………... FAMILY</t>
    </r>
  </si>
  <si>
    <r>
      <rPr>
        <b/>
        <sz val="12"/>
        <color rgb="FF000000"/>
        <rFont val="AR CENA"/>
      </rPr>
      <t xml:space="preserve">                                                               </t>
    </r>
    <r>
      <rPr>
        <b/>
        <u/>
        <sz val="12"/>
        <color rgb="FF000000"/>
        <rFont val="AR CENA"/>
      </rPr>
      <t>……... FAMILY</t>
    </r>
  </si>
  <si>
    <r>
      <rPr>
        <b/>
        <sz val="11"/>
        <color rgb="FF000000"/>
        <rFont val="AR CENA"/>
      </rPr>
      <t xml:space="preserve">                                                              ……………GENERATION </t>
    </r>
    <r>
      <rPr>
        <b/>
        <u/>
        <sz val="11"/>
        <color rgb="FF000000"/>
        <rFont val="AR CENA"/>
      </rPr>
      <t>2007/2008</t>
    </r>
  </si>
  <si>
    <r>
      <rPr>
        <b/>
        <sz val="11"/>
        <color rgb="FF000000"/>
        <rFont val="AR CENA"/>
      </rPr>
      <t xml:space="preserve">               </t>
    </r>
    <r>
      <rPr>
        <b/>
        <u/>
        <sz val="11"/>
        <color rgb="FF000000"/>
        <rFont val="AR CENA"/>
      </rPr>
      <t>HUMILITY WITH THE TEAR OF THE LORD GENERATION 2008/2009</t>
    </r>
  </si>
  <si>
    <t>PHONE NO.</t>
  </si>
  <si>
    <t>ABOSEDE ANISHERE</t>
  </si>
  <si>
    <t>ADANIKIN OLUSOLA T.</t>
  </si>
  <si>
    <t>ADEBANJO SHOLA</t>
  </si>
  <si>
    <t>ADEBIYI ESTHER ADEKEMI</t>
  </si>
  <si>
    <t>ADEFARAKAN ANTHONY</t>
  </si>
  <si>
    <t>ADEGOKE IDOWU A.</t>
  </si>
  <si>
    <t>ADEJUMO OLUWABUNMI</t>
  </si>
  <si>
    <t>ADEKANMBI TOPE</t>
  </si>
  <si>
    <t>ADELEKAN A.O.</t>
  </si>
  <si>
    <t>ADEMUKOLU A.A.</t>
  </si>
  <si>
    <t>ADERANTI ADENIRAN</t>
  </si>
  <si>
    <t>ADESANMI STEPHEN</t>
  </si>
  <si>
    <t>IMT</t>
  </si>
  <si>
    <t>ADESINA OLAIDE</t>
  </si>
  <si>
    <t>ADETONA YEMISI</t>
  </si>
  <si>
    <t>ADETORO JAIYEOLA MARTINS</t>
  </si>
  <si>
    <t>ADEYANJU GABRIEL A.</t>
  </si>
  <si>
    <t>ADEYANJU JOHNSON</t>
  </si>
  <si>
    <t>ADEYELE TAIWO</t>
  </si>
  <si>
    <t>ADEYEMI BUSUYI</t>
  </si>
  <si>
    <t>ADEYEYE ADEWALE</t>
  </si>
  <si>
    <t>ADEYI ADEWALE</t>
  </si>
  <si>
    <t>ADIGUN DANIEL O.</t>
  </si>
  <si>
    <t>AGUDA D. SEGUN</t>
  </si>
  <si>
    <t>AGUNBIADE B.</t>
  </si>
  <si>
    <t>AHIWE EVELYN</t>
  </si>
  <si>
    <t>AJALA BUKOLA</t>
  </si>
  <si>
    <t>AJALA TOSIN</t>
  </si>
  <si>
    <t>AJAYI JEREMIAH O.</t>
  </si>
  <si>
    <t>AJAYI O.O.</t>
  </si>
  <si>
    <t>AJEWOLE J.A.</t>
  </si>
  <si>
    <t>AJIBADE TAYO</t>
  </si>
  <si>
    <t>AJIBOLA TOPE</t>
  </si>
  <si>
    <t>AJIM AKINYEMI</t>
  </si>
  <si>
    <t>AKANDE U.E.</t>
  </si>
  <si>
    <t>AKINBOWALE AKINGBOLA</t>
  </si>
  <si>
    <t>AKINBOYETAN O.O.</t>
  </si>
  <si>
    <t>AKINDAYINI W.O.</t>
  </si>
  <si>
    <t>AKINKUOWO OMOLARA</t>
  </si>
  <si>
    <t>AKINMAYOWA S.</t>
  </si>
  <si>
    <t>AKINMULEGAN A.</t>
  </si>
  <si>
    <t>AKINMUYISITAN I.W.</t>
  </si>
  <si>
    <t>AKIODE OMOBOLANLE</t>
  </si>
  <si>
    <t>AKINOYE OLUGBENGA O.</t>
  </si>
  <si>
    <t>AKINSOLA ADEWOLE</t>
  </si>
  <si>
    <t>ABP</t>
  </si>
  <si>
    <t>AKINTUNDE TAIWO</t>
  </si>
  <si>
    <t>ALABI CHARLES</t>
  </si>
  <si>
    <t>ALAGBADA ADEFEMI SAMUEL</t>
  </si>
  <si>
    <t>ALAYE D.G.</t>
  </si>
  <si>
    <t>ALIGBE EDWIN</t>
  </si>
  <si>
    <t>ALUBANKUDI REMI I</t>
  </si>
  <si>
    <t>AMAGBATOHEN J.</t>
  </si>
  <si>
    <t>ANOZIE CHUKWUMA</t>
  </si>
  <si>
    <t>ARAOYINBO ROSEMARY</t>
  </si>
  <si>
    <t>AROWOLO J. ISAAC</t>
  </si>
  <si>
    <t>ASENOJUAN F.N.</t>
  </si>
  <si>
    <t>ASHIEFO BASIL A.</t>
  </si>
  <si>
    <t>ATANDARE ROTIMI J.</t>
  </si>
  <si>
    <t>08033834549, 08053443153</t>
  </si>
  <si>
    <t>15 NOV.</t>
  </si>
  <si>
    <t>AWOLUSI O.O.</t>
  </si>
  <si>
    <t>AWOSEMO MOTUNRAYO C</t>
  </si>
  <si>
    <t>AYILARAN ABIMBOLA</t>
  </si>
  <si>
    <t>AYOWELE OLUWASOLA</t>
  </si>
  <si>
    <t>AZUBUIKE ABIODUN</t>
  </si>
  <si>
    <t>BABALOLA OLUWASEUN K.</t>
  </si>
  <si>
    <t>PRESIDENT</t>
  </si>
  <si>
    <t>BAYODE F.T.</t>
  </si>
  <si>
    <t>BAYODE OLAKUNLE O.</t>
  </si>
  <si>
    <t>BAYODE OLALEKAN E.</t>
  </si>
  <si>
    <t>DADA ODUNAYO</t>
  </si>
  <si>
    <t>DEMEHIN O.O.</t>
  </si>
  <si>
    <t>EKUNOLA BLESSING</t>
  </si>
  <si>
    <t>EMOUSIUKO B. MIRACLE</t>
  </si>
  <si>
    <t>EMUOSO CHRISTOPHER</t>
  </si>
  <si>
    <t>FABUSIWA MERCY</t>
  </si>
  <si>
    <t>FABODE FOLAKEMI</t>
  </si>
  <si>
    <t>FADAIRO JUMOKE</t>
  </si>
  <si>
    <t>FADIPE SANYA</t>
  </si>
  <si>
    <t>FAGBEMI ADEMOLA</t>
  </si>
  <si>
    <t xml:space="preserve">FAGBEMI OLUFUNKE O. </t>
  </si>
  <si>
    <t>FALASE OPEMIPO_OLUWA</t>
  </si>
  <si>
    <t>FALOPE OLAJIDE O.</t>
  </si>
  <si>
    <t>FARAYIBI PETER KAYODE</t>
  </si>
  <si>
    <t>GANIYU LANRE</t>
  </si>
  <si>
    <t>IDEHEN DAVE</t>
  </si>
  <si>
    <t>IPINSANMI DANIEL</t>
  </si>
  <si>
    <t>KAYODE T.G.</t>
  </si>
  <si>
    <t>MAKINWA TUNDE</t>
  </si>
  <si>
    <t>PHY/ELECT</t>
  </si>
  <si>
    <t>MORIYOMI KIKELOMO</t>
  </si>
  <si>
    <t>NURUDEEN TUNDE</t>
  </si>
  <si>
    <t>OBADELE TUNDE</t>
  </si>
  <si>
    <t>OBISESAN ADERONKE</t>
  </si>
  <si>
    <t>ODANYE BUNMI</t>
  </si>
  <si>
    <t>CHEM</t>
  </si>
  <si>
    <t>ODUBENA WALE</t>
  </si>
  <si>
    <t>ODUNIYI SAMUEL</t>
  </si>
  <si>
    <t>OLASUNTANMI TUNJI S.</t>
  </si>
  <si>
    <t>OLAWEPO OLANREWAJU W.</t>
  </si>
  <si>
    <t>OGUNBOYE SEYI</t>
  </si>
  <si>
    <t>OGUNDARE PAUL O.</t>
  </si>
  <si>
    <t>OGUNGBEMI YETUNDE</t>
  </si>
  <si>
    <t>OGUNGBENRO STEPHEN</t>
  </si>
  <si>
    <t>OGUNLEYE S.T.</t>
  </si>
  <si>
    <t>OGUNMUYIWA ELIZABETH I.</t>
  </si>
  <si>
    <t>OGUNWO MOSUNMOLA</t>
  </si>
  <si>
    <t>OGUNYANKINNU BISI J.</t>
  </si>
  <si>
    <t>OJO BUNMI</t>
  </si>
  <si>
    <t>OKE BUKOLA</t>
  </si>
  <si>
    <t>OKE OLAWALE</t>
  </si>
  <si>
    <t>OKOH U.C.</t>
  </si>
  <si>
    <t>OKORIE SAMSON</t>
  </si>
  <si>
    <t>OLALEYE OLAJUMOKE</t>
  </si>
  <si>
    <t>OLANREWAJU TUNDE</t>
  </si>
  <si>
    <t>OLAOMI MAYOWA</t>
  </si>
  <si>
    <t>OLANIYAN JOHN A.</t>
  </si>
  <si>
    <t>OLATUNYA D.E.</t>
  </si>
  <si>
    <t>OLOGUNAGBA JOHN</t>
  </si>
  <si>
    <t>OLORUNDARE BANJI</t>
  </si>
  <si>
    <t>OLUBIYI DIPO</t>
  </si>
  <si>
    <t>OLUFOJUDE B.O.</t>
  </si>
  <si>
    <t>OLUPONA FUNMI</t>
  </si>
  <si>
    <t>OLUWOLE TEMIDAYO</t>
  </si>
  <si>
    <t>OLUWABUNMI VICTOR</t>
  </si>
  <si>
    <t>OLUYEDE BUKOLA</t>
  </si>
  <si>
    <t>OMOLE LEKAN MICHAEL</t>
  </si>
  <si>
    <t>OMOPARIOLA JANET</t>
  </si>
  <si>
    <t>OMOSUYI A.I.</t>
  </si>
  <si>
    <t>ONABOWU F. TOYIN</t>
  </si>
  <si>
    <t>ONI TUNJI</t>
  </si>
  <si>
    <t>ORIMOLOYE KAYODE</t>
  </si>
  <si>
    <t>OWOEYO F. IFEOLUWAPO</t>
  </si>
  <si>
    <t>OYEDELE CHRISTIANAH</t>
  </si>
  <si>
    <t>OYEDELE TITILOPEMIOLUWA E.</t>
  </si>
  <si>
    <t>OSHIOGBE I.F.</t>
  </si>
  <si>
    <t>PRINCE UBONG U.B.</t>
  </si>
  <si>
    <t>ROTIBA O. DAVID</t>
  </si>
  <si>
    <t>ROTIMI OLUWASANMI</t>
  </si>
  <si>
    <t>SHAREMI OLUJEJE A.</t>
  </si>
  <si>
    <t>SHOGBANMU BAYO</t>
  </si>
  <si>
    <t>WOLE</t>
  </si>
  <si>
    <t>YUSUF TEMIDAYO</t>
  </si>
  <si>
    <t>AINA EYITAYO</t>
  </si>
  <si>
    <t>AKPE REMMY</t>
  </si>
  <si>
    <t>AWEHEWHEJIN VICTOR</t>
  </si>
  <si>
    <t>OGUNDEJI SUNDAY. O</t>
  </si>
  <si>
    <t>ADEBOLU TEMITOPE</t>
  </si>
  <si>
    <t>HAPPY APOGHE</t>
  </si>
  <si>
    <t>RAJI BABATUNDE .M</t>
  </si>
  <si>
    <t>FABUNMI OLUMIDE</t>
  </si>
  <si>
    <t>BELLO BOLANLE</t>
  </si>
  <si>
    <t>SLT</t>
  </si>
  <si>
    <t>TENIOLA ISREAL</t>
  </si>
  <si>
    <t>AROWOLO FUNMI</t>
  </si>
  <si>
    <t>AKINYINKA . I.A</t>
  </si>
  <si>
    <t>BABALOLA OLUMIDE</t>
  </si>
  <si>
    <t>ISINKALU AJAYI</t>
  </si>
  <si>
    <t>ISIMIJOLA FISAYO</t>
  </si>
  <si>
    <t>LASISI BOLARINWA</t>
  </si>
  <si>
    <t>IMC</t>
  </si>
  <si>
    <t>AKPOSIONU IJEOMA</t>
  </si>
  <si>
    <t xml:space="preserve">AELEKOLUJO TOSIN </t>
  </si>
  <si>
    <t>AKINRINMADE ROTIMI</t>
  </si>
  <si>
    <t>ADEDIRAN TUNDE</t>
  </si>
  <si>
    <t>OLAGUNDOYE OLUWAGBEMIRO</t>
  </si>
  <si>
    <t>SLT/PHY</t>
  </si>
  <si>
    <t>OBAFUNMILAYO DOTUN</t>
  </si>
  <si>
    <t>ADEYEMO BECKY</t>
  </si>
  <si>
    <t xml:space="preserve">OKEWOLE JOHN </t>
  </si>
  <si>
    <t>OSALUSI ABOSEDE</t>
  </si>
  <si>
    <t>ADEBIYI KEMI</t>
  </si>
  <si>
    <t>IDOWU SEFUNMI</t>
  </si>
  <si>
    <t>OLUYEMI OLUWATOSIN</t>
  </si>
  <si>
    <t>OJOMU USILE</t>
  </si>
  <si>
    <t>LALEYE OLUFUNMILOLA</t>
  </si>
  <si>
    <t>NWABUDIKE VICTOR</t>
  </si>
  <si>
    <t>AFUYE OLUWATOSIN</t>
  </si>
  <si>
    <t>AWONIYI ADEMOLA</t>
  </si>
  <si>
    <t>BALOGUN VICTOR</t>
  </si>
  <si>
    <t>AKEREDOLU FEMI</t>
  </si>
  <si>
    <t>ALEBIOSU A. B</t>
  </si>
  <si>
    <t>FAWIBE AYO IYIOLA</t>
  </si>
  <si>
    <t>AKINTOLA YEMI</t>
  </si>
  <si>
    <t>AKINBINU BUKOLA</t>
  </si>
  <si>
    <t xml:space="preserve">SEX </t>
  </si>
  <si>
    <t>DEPT.</t>
  </si>
  <si>
    <t>ABE GBEMISOLA</t>
  </si>
  <si>
    <t>9TH JAN.</t>
  </si>
  <si>
    <t>ABEGUNDE KAYODE</t>
  </si>
  <si>
    <t>11TH DEC.</t>
  </si>
  <si>
    <t>ABEGUNDE O. TEMITOPE</t>
  </si>
  <si>
    <t>10TH MAY</t>
  </si>
  <si>
    <t>ABIODUN MODUPE GRACE</t>
  </si>
  <si>
    <t>16TH DEC.</t>
  </si>
  <si>
    <t>ABOLUDE A. TAYO</t>
  </si>
  <si>
    <t>11TH OCT.</t>
  </si>
  <si>
    <t>ADEBARA ADETUNJI S.</t>
  </si>
  <si>
    <t>24TH JULY</t>
  </si>
  <si>
    <t>ADEDOKUN OLUWASEYI</t>
  </si>
  <si>
    <t>8035592650, 8080890541</t>
  </si>
  <si>
    <t>24TH NOV.</t>
  </si>
  <si>
    <t>ADEJOBI ADENIYI</t>
  </si>
  <si>
    <t>23RD SEPT.</t>
  </si>
  <si>
    <t>ADEJUBE O. STEVEN</t>
  </si>
  <si>
    <t>7TH FEB.</t>
  </si>
  <si>
    <t>ADEKANYE IDOWU</t>
  </si>
  <si>
    <t>1ST JUNE</t>
  </si>
  <si>
    <t>ADEKANYE P. ADEBISI</t>
  </si>
  <si>
    <t>ARC.</t>
  </si>
  <si>
    <t>8062737897, 8027573690</t>
  </si>
  <si>
    <t>11TH APRIL</t>
  </si>
  <si>
    <t>ADELEKE SAMUEL ADEWALE</t>
  </si>
  <si>
    <t>8032399898, 8072096166</t>
  </si>
  <si>
    <t>12TH JULY</t>
  </si>
  <si>
    <t>ADEMUWAGUN COMFORT</t>
  </si>
  <si>
    <t>25TH FEB.</t>
  </si>
  <si>
    <t>ADENIYI OLUWATOYIN D.</t>
  </si>
  <si>
    <t>10THDEC.</t>
  </si>
  <si>
    <t>ADEOLU TAIWO</t>
  </si>
  <si>
    <t>22ND APRIL</t>
  </si>
  <si>
    <t>ADEUSI OPEYEMI</t>
  </si>
  <si>
    <t>19TH SEPT.</t>
  </si>
  <si>
    <t>ADEUSI SUNDAY</t>
  </si>
  <si>
    <t>23RD APRIL</t>
  </si>
  <si>
    <t>ADEYINA AYOMIDE</t>
  </si>
  <si>
    <t>5TH MAY</t>
  </si>
  <si>
    <t>AFE BOLA A.</t>
  </si>
  <si>
    <t>15TH MARCH</t>
  </si>
  <si>
    <t>AJAYI DOLAPO</t>
  </si>
  <si>
    <t>3RD APRIL</t>
  </si>
  <si>
    <t>AJAYI ISSAC K.</t>
  </si>
  <si>
    <t>15TH JULY</t>
  </si>
  <si>
    <t>AJAYI OLALEKEN O.</t>
  </si>
  <si>
    <t>17TH AUG.</t>
  </si>
  <si>
    <t xml:space="preserve"> AJETOMOBI JACOB O.</t>
  </si>
  <si>
    <t>11TH JAN.</t>
  </si>
  <si>
    <t>AJIMOKO YEMI</t>
  </si>
  <si>
    <t>3RD DEC.</t>
  </si>
  <si>
    <t>AKINBILE ADEKUNLE</t>
  </si>
  <si>
    <t>27TH MAY</t>
  </si>
  <si>
    <t>15TH OCT.</t>
  </si>
  <si>
    <t>AKINGBOYE TEMITOPE</t>
  </si>
  <si>
    <t>25TH MAY</t>
  </si>
  <si>
    <t>AKIN-KOMOLAFE ROLAKE</t>
  </si>
  <si>
    <t>6TH MAY</t>
  </si>
  <si>
    <t>AKINOLA MOSES A.</t>
  </si>
  <si>
    <t>21ST JULY</t>
  </si>
  <si>
    <t>AKINSOROTAN DUNNI</t>
  </si>
  <si>
    <t>AKINTADE PAUL</t>
  </si>
  <si>
    <t>20TH APRIL</t>
  </si>
  <si>
    <t>AKINYEMI OLUWASEYI</t>
  </si>
  <si>
    <t>18TH AUG.</t>
  </si>
  <si>
    <t>AKOMOLEDE A. MOYO</t>
  </si>
  <si>
    <t>18TH JAN.</t>
  </si>
  <si>
    <t>ALONGE OLADIPO</t>
  </si>
  <si>
    <t>19TH APRIL.</t>
  </si>
  <si>
    <t>AMENAGILAWON LUCKY</t>
  </si>
  <si>
    <t>13TH MARCH</t>
  </si>
  <si>
    <t>AREMU OLUWAKEMI F.</t>
  </si>
  <si>
    <t>ASENAGUAN FIDELIS NOSA</t>
  </si>
  <si>
    <t>24TH APRIL</t>
  </si>
  <si>
    <t>ATING BASSEY F.</t>
  </si>
  <si>
    <t>23RD. SEPT.</t>
  </si>
  <si>
    <t>AWONIYI AFOLABI P.</t>
  </si>
  <si>
    <t>14TH JUNE</t>
  </si>
  <si>
    <t>AWOTALE ALO</t>
  </si>
  <si>
    <t>BABALOLA O. PEACE</t>
  </si>
  <si>
    <t>8067111974, 7055394570</t>
  </si>
  <si>
    <t>15TH NOV.</t>
  </si>
  <si>
    <t>BABALOLA OPEYEMI S.</t>
  </si>
  <si>
    <t>BADA M. OLUWAFEMI</t>
  </si>
  <si>
    <t>7TH OCT.</t>
  </si>
  <si>
    <t>BELLO AYODEJI</t>
  </si>
  <si>
    <t>BONIRE OLAROTIMI O.</t>
  </si>
  <si>
    <t>26TH JULY</t>
  </si>
  <si>
    <t>DARAMOLA OLATUNBOSUN</t>
  </si>
  <si>
    <t>EDADOQZOGWU GOODNESS</t>
  </si>
  <si>
    <t>4THAUG</t>
  </si>
  <si>
    <t>ELEGBEDE ABIODUN S.</t>
  </si>
  <si>
    <t>31ST DEC.</t>
  </si>
  <si>
    <t>ELUFOWOJU KEHINDE J.</t>
  </si>
  <si>
    <t>8TH AUG</t>
  </si>
  <si>
    <t>EMOLA K. COURAGE</t>
  </si>
  <si>
    <t>9TH JULY</t>
  </si>
  <si>
    <t>FABIYI OLUWAGBENGA</t>
  </si>
  <si>
    <t>16TH OCT.</t>
  </si>
  <si>
    <t>FAJIMITE OLAYINKA</t>
  </si>
  <si>
    <t>FALADE AYOADE</t>
  </si>
  <si>
    <t>28TH NOV.</t>
  </si>
  <si>
    <t>FAPETU SEGUN AYO</t>
  </si>
  <si>
    <t>FASAKIN A. ADEOYE</t>
  </si>
  <si>
    <t>FASOYI OLUWASOLA G.</t>
  </si>
  <si>
    <t>17TH FEB.</t>
  </si>
  <si>
    <t>FATILE BUKOLA</t>
  </si>
  <si>
    <t>FATOKI ABIODUN EMMANUEL</t>
  </si>
  <si>
    <t>25TH JAN.</t>
  </si>
  <si>
    <t>FATORINDE SAMUEL AYO</t>
  </si>
  <si>
    <t>7TH APRIL</t>
  </si>
  <si>
    <t>FAYEMIRO FOLASAYO O.</t>
  </si>
  <si>
    <t>23RD DEC.</t>
  </si>
  <si>
    <t>IFEDAYO O.T</t>
  </si>
  <si>
    <t>17TH APRIL</t>
  </si>
  <si>
    <t>IKUMAPAYI OLUWASEGUN A.</t>
  </si>
  <si>
    <t>ILESANMI OLUSEGUN</t>
  </si>
  <si>
    <t>8023644299, 8033440168</t>
  </si>
  <si>
    <t>7TH SEPT.</t>
  </si>
  <si>
    <t>ILOBA GODSWILL</t>
  </si>
  <si>
    <t>4TH DEC.</t>
  </si>
  <si>
    <t>IMEDIEGWU EMMANUEL A.</t>
  </si>
  <si>
    <t>7032630969, 8027211202</t>
  </si>
  <si>
    <t>11TH MAY</t>
  </si>
  <si>
    <t>KAYODE E.J</t>
  </si>
  <si>
    <t>KOLAWOLE TOLULOPE</t>
  </si>
  <si>
    <t>16TH FEB.</t>
  </si>
  <si>
    <t>KOMOLAFE JULIET FISAYO</t>
  </si>
  <si>
    <t>7TH MARCH</t>
  </si>
  <si>
    <t>LADESUYI TEMILADE</t>
  </si>
  <si>
    <t>14TH AUG.</t>
  </si>
  <si>
    <t>LAWAL ADERONKE</t>
  </si>
  <si>
    <t>LAWAL O. BABATUNDE</t>
  </si>
  <si>
    <t>4TH FEB</t>
  </si>
  <si>
    <t>MERAYEBU SEGUN</t>
  </si>
  <si>
    <t>8027251470, 7039170757</t>
  </si>
  <si>
    <t>17TH NOV.</t>
  </si>
  <si>
    <t>MORAWO TOLULOPE</t>
  </si>
  <si>
    <t>24TH MAY</t>
  </si>
  <si>
    <t>OBIENWE JOYCE</t>
  </si>
  <si>
    <t>13THDEC.</t>
  </si>
  <si>
    <t>ODEKUNLE A. ADEDOYIN</t>
  </si>
  <si>
    <t>28TH MARCH</t>
  </si>
  <si>
    <t>ODETUNDE OLUYEMI O.</t>
  </si>
  <si>
    <t>17TH JULY</t>
  </si>
  <si>
    <t>ODEYEMI SEUN</t>
  </si>
  <si>
    <t>8TH DEC.</t>
  </si>
  <si>
    <t>ODEYEMI TOPE</t>
  </si>
  <si>
    <t>30TH JUNE</t>
  </si>
  <si>
    <t>OGIDIAMA OGIHARE VICTOR</t>
  </si>
  <si>
    <t>OGUNBILE E. TEMITAYO</t>
  </si>
  <si>
    <t>26TH JUNE</t>
  </si>
  <si>
    <t>OGUNDARE ENIOLA</t>
  </si>
  <si>
    <t>12TH MAY</t>
  </si>
  <si>
    <t xml:space="preserve"> OGUNLEYE ALABA DAMILOLA</t>
  </si>
  <si>
    <t>22ND OCT.</t>
  </si>
  <si>
    <t>OGUNLEYE TEMITOPE</t>
  </si>
  <si>
    <t>24TH OCT.</t>
  </si>
  <si>
    <t>OGUNTIMEHIN ABIODUN S.</t>
  </si>
  <si>
    <t>8054135723, 8064463042</t>
  </si>
  <si>
    <t>30TH MARCH</t>
  </si>
  <si>
    <t>OGUNTIMEHIN TOPE</t>
  </si>
  <si>
    <t>10TH MARCH</t>
  </si>
  <si>
    <t>OGUNYA BUSAYO A.</t>
  </si>
  <si>
    <t>8036994003, 7027408737</t>
  </si>
  <si>
    <t>OJIOKPUTA INNOCENT</t>
  </si>
  <si>
    <t>28TH APRIL</t>
  </si>
  <si>
    <t>OJO ABIOLA OPEYEMI</t>
  </si>
  <si>
    <t>21ST AUG.</t>
  </si>
  <si>
    <t>OJO ELIZABETH OLUWASEUN</t>
  </si>
  <si>
    <t>27TH SEPT.</t>
  </si>
  <si>
    <t>OJO MOJISOLA C.</t>
  </si>
  <si>
    <t xml:space="preserve">BIO </t>
  </si>
  <si>
    <t>OJO O. HANNAH</t>
  </si>
  <si>
    <t>26TH MARCH</t>
  </si>
  <si>
    <t>OJO OLADIPUPO</t>
  </si>
  <si>
    <t>15TH JAN.</t>
  </si>
  <si>
    <t>OLABANJI DAYO</t>
  </si>
  <si>
    <t>14TH FEB.</t>
  </si>
  <si>
    <t>OLADEJO B.O</t>
  </si>
  <si>
    <t>OLADOSU AKINOLA</t>
  </si>
  <si>
    <t>OLAKUNLE A.K</t>
  </si>
  <si>
    <t>10TH OCT.</t>
  </si>
  <si>
    <t>OLALEKAN BANKOLE</t>
  </si>
  <si>
    <t>28TH JULY</t>
  </si>
  <si>
    <t>OLATEJU O.O</t>
  </si>
  <si>
    <t>20TH FEB.</t>
  </si>
  <si>
    <t>OLATUNDE TOYIN</t>
  </si>
  <si>
    <t xml:space="preserve">ESM </t>
  </si>
  <si>
    <t>3RD MAY</t>
  </si>
  <si>
    <t>OLAWAWO VICTOR</t>
  </si>
  <si>
    <t>5TH MARCH</t>
  </si>
  <si>
    <t>OLOFINSAWE B.G</t>
  </si>
  <si>
    <t>26TH NOV.</t>
  </si>
  <si>
    <t>OLOGUN HENRY</t>
  </si>
  <si>
    <t>8TH MARCH</t>
  </si>
  <si>
    <t>OLONI GBEMI T.</t>
  </si>
  <si>
    <t>22ND FEB.</t>
  </si>
  <si>
    <t>OLORUNSOGBON OLUWASEUN</t>
  </si>
  <si>
    <t>19TH JULY</t>
  </si>
  <si>
    <t>OLOYEDE OPEYEMI K.</t>
  </si>
  <si>
    <t>1ST AUG.</t>
  </si>
  <si>
    <t>OLUPONA KEMILOLA F.</t>
  </si>
  <si>
    <t>2ND DEC.</t>
  </si>
  <si>
    <t>OMOJU BLESSING R.</t>
  </si>
  <si>
    <t>9TH NOV.</t>
  </si>
  <si>
    <t>OMOPARIOLA KUNMI</t>
  </si>
  <si>
    <t>OMOPARIOLA MUYIWA</t>
  </si>
  <si>
    <t>24TH JUNE</t>
  </si>
  <si>
    <t>OMOTAYO OMOLOLA</t>
  </si>
  <si>
    <t>24TH MARCH</t>
  </si>
  <si>
    <t>OMOTEHINSE ADETOLA B.</t>
  </si>
  <si>
    <t>27TH OCT.</t>
  </si>
  <si>
    <t>OMOTOLA O.D</t>
  </si>
  <si>
    <t>1ST MAY</t>
  </si>
  <si>
    <t>OSAYANDE O. VICTORIA</t>
  </si>
  <si>
    <t>21ST DEC.</t>
  </si>
  <si>
    <t>OWOEYE E. SEYE</t>
  </si>
  <si>
    <t>OWOLABI DOTUN</t>
  </si>
  <si>
    <t>23RD MAY</t>
  </si>
  <si>
    <t>OWOTADE DAMMY</t>
  </si>
  <si>
    <t>27TH APRIL</t>
  </si>
  <si>
    <t>OYELEYE SUNDAY</t>
  </si>
  <si>
    <t>2ND OCT.</t>
  </si>
  <si>
    <t>OYENEKAN JIDE</t>
  </si>
  <si>
    <t>8025598663, 808473488</t>
  </si>
  <si>
    <t>8TH NOV.</t>
  </si>
  <si>
    <t>SALAKO KOLAWOLE D.</t>
  </si>
  <si>
    <t>19TH DEC.</t>
  </si>
  <si>
    <t>SALAMI OLUWAFEMI</t>
  </si>
  <si>
    <t>24TH FEB</t>
  </si>
  <si>
    <t>SAPORE OVIRI</t>
  </si>
  <si>
    <t>2ND MAY</t>
  </si>
  <si>
    <t>SHODE OLUWASEYI</t>
  </si>
  <si>
    <t>20TH MAY</t>
  </si>
  <si>
    <t>SUNMONU FESTUS</t>
  </si>
  <si>
    <t>9TH SEPT.</t>
  </si>
  <si>
    <t>TIEASE T.O</t>
  </si>
  <si>
    <t>28TH JAN.</t>
  </si>
  <si>
    <t>TOYE C.A</t>
  </si>
  <si>
    <t>25TH DEC.</t>
  </si>
  <si>
    <t>UNAKHUGBA GRACE</t>
  </si>
  <si>
    <t>25TH JULY</t>
  </si>
  <si>
    <t>FADAMIRO AYOKUNLE</t>
  </si>
  <si>
    <t>26TH JAN.</t>
  </si>
  <si>
    <t>80262399988, 0803921729</t>
  </si>
  <si>
    <r>
      <rPr>
        <b/>
        <sz val="12"/>
        <color rgb="FF000000"/>
        <rFont val="AR CENA"/>
      </rPr>
      <t xml:space="preserve">                                                                 </t>
    </r>
    <r>
      <rPr>
        <b/>
        <u/>
        <sz val="12"/>
        <color rgb="FF000000"/>
        <rFont val="AR CENA"/>
      </rPr>
      <t xml:space="preserve"> CHOSEN RACE FAMILY</t>
    </r>
  </si>
  <si>
    <r>
      <rPr>
        <b/>
        <sz val="12"/>
        <color rgb="FF000000"/>
        <rFont val="AR CENA"/>
      </rPr>
      <t xml:space="preserve">                                                                 </t>
    </r>
    <r>
      <rPr>
        <b/>
        <u/>
        <sz val="12"/>
        <color rgb="FF000000"/>
        <rFont val="AR CENA"/>
      </rPr>
      <t xml:space="preserve"> GILGAL FAMILY</t>
    </r>
  </si>
  <si>
    <r>
      <rPr>
        <b/>
        <sz val="12"/>
        <color rgb="FF000000"/>
        <rFont val="AR CENA"/>
      </rPr>
      <t xml:space="preserve">                                                                 </t>
    </r>
    <r>
      <rPr>
        <b/>
        <u/>
        <sz val="12"/>
        <color rgb="FF000000"/>
        <rFont val="AR CENA"/>
      </rPr>
      <t xml:space="preserve"> HEPHZIBAH FAMILY</t>
    </r>
  </si>
  <si>
    <t>ABOABA OLANREWAJU</t>
  </si>
  <si>
    <t>ABODUNDE DOLAPO</t>
  </si>
  <si>
    <t>ADE-ODUMBONI ADELEKE</t>
  </si>
  <si>
    <t>ADEBAYO BANKOLE</t>
  </si>
  <si>
    <t>ADEGBOYEGA MAYOKUN</t>
  </si>
  <si>
    <t>ADENIRAN PETER</t>
  </si>
  <si>
    <t>ADESIDA ABIODUN</t>
  </si>
  <si>
    <t>ADETAYO BABATUNDE</t>
  </si>
  <si>
    <t>ADEWUMI FOLASADE</t>
  </si>
  <si>
    <t>ADEYEYE FESTUS</t>
  </si>
  <si>
    <t>AFOLALU ADENIRAN</t>
  </si>
  <si>
    <t>AINA ABAYOMI</t>
  </si>
  <si>
    <t xml:space="preserve">AJAYI ADENIYI </t>
  </si>
  <si>
    <t>AJENIFUJA KELVIN</t>
  </si>
  <si>
    <t>AJUMOBI OLUMAYOWA</t>
  </si>
  <si>
    <t>AKANO OLAKUNLE</t>
  </si>
  <si>
    <t>AKINOLA BOLANLE</t>
  </si>
  <si>
    <t>AKINOLA FRANK</t>
  </si>
  <si>
    <t>AKINOLA TEMIDAYO</t>
  </si>
  <si>
    <t>ALEXANDER ADESHINA</t>
  </si>
  <si>
    <t>ALIU OLUWATOYIN</t>
  </si>
  <si>
    <t>ALONGE JOSEPHINE</t>
  </si>
  <si>
    <t>ARINDE FUNSHO</t>
  </si>
  <si>
    <t>AWOFISOYE B.O</t>
  </si>
  <si>
    <t>BADA ABOSEDE</t>
  </si>
  <si>
    <t>CLARKE OKAH W.E</t>
  </si>
  <si>
    <t>EGBOBI K.O</t>
  </si>
  <si>
    <t>EJIOFOR NKIRUKA</t>
  </si>
  <si>
    <t>ELEHINTE YEMISI</t>
  </si>
  <si>
    <t>FAKOREDE ADESOJI</t>
  </si>
  <si>
    <t>FALEYE TAYO</t>
  </si>
  <si>
    <t>IBINI OLUMIDE</t>
  </si>
  <si>
    <t>ILAYA ANDREW</t>
  </si>
  <si>
    <t>ISARINDE ISIAH</t>
  </si>
  <si>
    <t>ISIMIJOLA OLUWATOYIN</t>
  </si>
  <si>
    <t>IWAYE CHRISTIANAH</t>
  </si>
  <si>
    <t>KAYODE TEMITOPE</t>
  </si>
  <si>
    <t>LERAMO PETER</t>
  </si>
  <si>
    <t>NATHANIEL SEGUN</t>
  </si>
  <si>
    <t>OGUNBANJO YOMI</t>
  </si>
  <si>
    <t>OGUNGBMILA TOKUNBO</t>
  </si>
  <si>
    <t>OGUNLANA ADEBOYE</t>
  </si>
  <si>
    <t>OGUNTOLA SEUN</t>
  </si>
  <si>
    <t>OGUNYE AYOYEMI</t>
  </si>
  <si>
    <t>OJO EZEIKEL</t>
  </si>
  <si>
    <t>OJO WURAOLA</t>
  </si>
  <si>
    <t>OJOADE OLUWASEYI</t>
  </si>
  <si>
    <t>OKUWOBI ADEWALE</t>
  </si>
  <si>
    <t>OLA MONISOLA</t>
  </si>
  <si>
    <t>OLALUDE IFEDAYO</t>
  </si>
  <si>
    <t>OLASUKANMI OLATUNJI</t>
  </si>
  <si>
    <t>OLATUNJI MODUPE</t>
  </si>
  <si>
    <t>OLANIPEKUN PHILIP</t>
  </si>
  <si>
    <t>OLOWOLEREKUN SAMSON</t>
  </si>
  <si>
    <t>OLUWADARE DOMINIC</t>
  </si>
  <si>
    <t>OMOLE OLANREWAJU</t>
  </si>
  <si>
    <t>OMOSUYI DEJI</t>
  </si>
  <si>
    <t>ONILEOWO ARIYO</t>
  </si>
  <si>
    <t xml:space="preserve">OYEDUNTAN GBENGA </t>
  </si>
  <si>
    <t>OYENUGA OLUFEMI</t>
  </si>
  <si>
    <t>QUADRI MODUPE</t>
  </si>
  <si>
    <t>ROMILUYI ADESUYI</t>
  </si>
  <si>
    <t>SHEYA ROBINSON</t>
  </si>
  <si>
    <t>TAIWO ADEYINKA</t>
  </si>
  <si>
    <t>TEIBO JOHN</t>
  </si>
  <si>
    <t>AKINSUNMOYE FRANKLIN</t>
  </si>
  <si>
    <t>ADENIYI ONAOPEPO</t>
  </si>
  <si>
    <t>EVANG</t>
  </si>
  <si>
    <t>OHIKHENA IFEOLUWA</t>
  </si>
  <si>
    <t xml:space="preserve">ADEDEJI TOLA </t>
  </si>
  <si>
    <t>ODUNAYO G.O</t>
  </si>
  <si>
    <t xml:space="preserve">SHADYA JUMOKE </t>
  </si>
  <si>
    <t>DARE ADEGBITE</t>
  </si>
  <si>
    <t xml:space="preserve">AWE OLUWAYOMI </t>
  </si>
  <si>
    <t>OSHO BANKOLE</t>
  </si>
  <si>
    <t>ELEHINLE FOLASHADE</t>
  </si>
  <si>
    <t>OJO TIMILEHIN</t>
  </si>
  <si>
    <t>AJAYI OLALEKAN</t>
  </si>
  <si>
    <t xml:space="preserve">IDD </t>
  </si>
  <si>
    <t>ADELUGBA OLORUNTOBA</t>
  </si>
  <si>
    <t>AFELUYI OLUWAYEMISI</t>
  </si>
  <si>
    <t xml:space="preserve">OMOLE BOLUWATIFE </t>
  </si>
  <si>
    <t>DAUDU ORINAMI</t>
  </si>
  <si>
    <t>PELEMO BUKOLA</t>
  </si>
  <si>
    <t>ADEYEMO BIMBO</t>
  </si>
  <si>
    <t>ADEGOKE OLOLADE</t>
  </si>
  <si>
    <t>ADESKO MAYOWA</t>
  </si>
  <si>
    <t>ADENIYI ADEOLA</t>
  </si>
  <si>
    <t xml:space="preserve">AFOLABI JANET </t>
  </si>
  <si>
    <t>AKINYEMI BUNMI</t>
  </si>
  <si>
    <t>DILE OLUWASEYI J.</t>
  </si>
  <si>
    <t>FAGBEMIGUN FEMI</t>
  </si>
  <si>
    <t>FATUNBI TOPE</t>
  </si>
  <si>
    <t>FAWIBE OLAYIWOLA</t>
  </si>
  <si>
    <t>IBUKUN OLUWASEGUN</t>
  </si>
  <si>
    <t>ONI OLUWATOSIN</t>
  </si>
  <si>
    <r>
      <t xml:space="preserve">                                              </t>
    </r>
    <r>
      <rPr>
        <b/>
        <u/>
        <sz val="11"/>
        <color rgb="FF000000"/>
        <rFont val="AR CENA"/>
      </rPr>
      <t>THAT I MAY KNOW HIM GENERATION 2003/2004</t>
    </r>
  </si>
  <si>
    <r>
      <t xml:space="preserve">                                                                </t>
    </r>
    <r>
      <rPr>
        <b/>
        <u/>
        <sz val="12"/>
        <color rgb="FF000000"/>
        <rFont val="AR CENA"/>
      </rPr>
      <t xml:space="preserve"> PECULIAR FAMILY</t>
    </r>
  </si>
  <si>
    <t>ALAO M. OLAYEMI</t>
  </si>
  <si>
    <t>MAR 6TH</t>
  </si>
  <si>
    <t>AGBOTOBA GBENGA</t>
  </si>
  <si>
    <t>MAY 27TH</t>
  </si>
  <si>
    <t>MEGBUWANUN. A. A</t>
  </si>
  <si>
    <t>FEB10TH</t>
  </si>
  <si>
    <t>OYENEYE OLABODE</t>
  </si>
  <si>
    <t>NOV 19TH</t>
  </si>
  <si>
    <t>BANKOLE O. M</t>
  </si>
  <si>
    <t>JAN 11TH</t>
  </si>
  <si>
    <t>OKUNNIGA SEGUN</t>
  </si>
  <si>
    <t>MAR 28TH</t>
  </si>
  <si>
    <t>AKINRINADE OPEYEMI</t>
  </si>
  <si>
    <t>SEPT 26TH</t>
  </si>
  <si>
    <t>ESENE E. E</t>
  </si>
  <si>
    <t>FEB 18TH</t>
  </si>
  <si>
    <t>JIMOH SURAJUDEEN</t>
  </si>
  <si>
    <t>JAGBORO GERSHOM</t>
  </si>
  <si>
    <t>SEPT 8TH</t>
  </si>
  <si>
    <t>AWODEYIN SANYA</t>
  </si>
  <si>
    <t>AUG 27TH</t>
  </si>
  <si>
    <t>JUSTIN CHIKEZIE</t>
  </si>
  <si>
    <t>MAY11TH</t>
  </si>
  <si>
    <t>AJAYI MOMTUNDE</t>
  </si>
  <si>
    <t>DEC 5TH</t>
  </si>
  <si>
    <t>MOMOH ALABA</t>
  </si>
  <si>
    <t>JUNE 29TH</t>
  </si>
  <si>
    <t>BOLARINWA BOSEDE</t>
  </si>
  <si>
    <t>JULY 18TH</t>
  </si>
  <si>
    <t>SALAMI OLUFEMI</t>
  </si>
  <si>
    <t>FEB 24TH</t>
  </si>
  <si>
    <t>FABOYEDE TOLA</t>
  </si>
  <si>
    <t>JAN 18TH</t>
  </si>
  <si>
    <t>OLAIYA TOLU</t>
  </si>
  <si>
    <t>JUL 20TH</t>
  </si>
  <si>
    <t>BALOGUN TAYO</t>
  </si>
  <si>
    <t>JULY21ST</t>
  </si>
  <si>
    <t>OUAGBO ADESEGUNFUNMI</t>
  </si>
  <si>
    <t>NOV 12TH</t>
  </si>
  <si>
    <t>OGUNDEJI SUNDAY</t>
  </si>
  <si>
    <t>OCT 14TH</t>
  </si>
  <si>
    <t>ADESANWO B. ADEWUNMI</t>
  </si>
  <si>
    <t>APR 24TH</t>
  </si>
  <si>
    <t>ODOFIN OLUWASEUN</t>
  </si>
  <si>
    <t>NOV 11TH</t>
  </si>
  <si>
    <t>ADEPOJU MORADEKE</t>
  </si>
  <si>
    <t>NOV 26TH</t>
  </si>
  <si>
    <t>IDOWU OYEYEMI</t>
  </si>
  <si>
    <t>OCT 6TH</t>
  </si>
  <si>
    <t>ALEJO OLAKUNLE</t>
  </si>
  <si>
    <t xml:space="preserve"> CSP</t>
  </si>
  <si>
    <t>OCT 25TH</t>
  </si>
  <si>
    <t>OYEWUSI MICHAEL</t>
  </si>
  <si>
    <t>DEC 29TH</t>
  </si>
  <si>
    <t>AKINWUNMI ISAAC</t>
  </si>
  <si>
    <t>OCT 7TH</t>
  </si>
  <si>
    <t>AYETORO A. B</t>
  </si>
  <si>
    <t>SEPT 2ND</t>
  </si>
  <si>
    <t>OMONIYI KOLA</t>
  </si>
  <si>
    <t>APR 12TH</t>
  </si>
  <si>
    <t>OGUNDIPE AKKINTUNDE</t>
  </si>
  <si>
    <t>APR 19TH</t>
  </si>
  <si>
    <t>THOMAS OLAROTIMI</t>
  </si>
  <si>
    <t>MAY 31ST</t>
  </si>
  <si>
    <t>AJALA YEMI</t>
  </si>
  <si>
    <t>OCT 17TH</t>
  </si>
  <si>
    <t>LONGE MUYIWA</t>
  </si>
  <si>
    <t>AUG 13TH</t>
  </si>
  <si>
    <t>FRANKLIN. C</t>
  </si>
  <si>
    <t>OMISORE AFOLABI</t>
  </si>
  <si>
    <t>SEPT 29TH</t>
  </si>
  <si>
    <t>AWOTIMIRO OLUWATOSIN</t>
  </si>
  <si>
    <t>OCT 16TH</t>
  </si>
  <si>
    <t>KUNLERE ADESOJI</t>
  </si>
  <si>
    <t>AJO BAALE</t>
  </si>
  <si>
    <t>NOV 16TH</t>
  </si>
  <si>
    <t>ASAMU MICHAEL</t>
  </si>
  <si>
    <t>MAR 11TH</t>
  </si>
  <si>
    <t>ESHO TOLA</t>
  </si>
  <si>
    <t>NOV 25TH</t>
  </si>
  <si>
    <t>ODOLE OLUGBENGA</t>
  </si>
  <si>
    <t>DEC 27TH</t>
  </si>
  <si>
    <t>BAJOMO ALABA</t>
  </si>
  <si>
    <t>JULY 26TH</t>
  </si>
  <si>
    <t>ASAFA GBENGA</t>
  </si>
  <si>
    <t>JULY 2ND</t>
  </si>
  <si>
    <t>BANJOKO A. A</t>
  </si>
  <si>
    <t>JULY 7TH</t>
  </si>
  <si>
    <t>CHOGUDO NELSON</t>
  </si>
  <si>
    <t>MAY 23RD</t>
  </si>
  <si>
    <t>ABIOYE TAIWO. E</t>
  </si>
  <si>
    <t>SEPT 3RD</t>
  </si>
  <si>
    <t>AJILEYE SEGUNM</t>
  </si>
  <si>
    <t>FEB 12TH</t>
  </si>
  <si>
    <t xml:space="preserve"> MME</t>
  </si>
  <si>
    <t>JULY 14TH</t>
  </si>
  <si>
    <t>OLAWANDE OLUBUKOLA</t>
  </si>
  <si>
    <t>OBIKI NDUDI</t>
  </si>
  <si>
    <t>AUG 24TH</t>
  </si>
  <si>
    <t>AMODU OLUWASEGUN. V</t>
  </si>
  <si>
    <t>FEB 22ND</t>
  </si>
  <si>
    <t>AYINOLA ABIOLA</t>
  </si>
  <si>
    <t>FEB 2ND</t>
  </si>
  <si>
    <t>ESAN OLAYIWOLA</t>
  </si>
  <si>
    <t>JAN 8TH</t>
  </si>
  <si>
    <t>FADIMILEHIN OLAYEMI</t>
  </si>
  <si>
    <t>OLORUNFEMI ADEDAYO</t>
  </si>
  <si>
    <t>JUNE 16TH</t>
  </si>
  <si>
    <t>OKAFOR P. C</t>
  </si>
  <si>
    <t>MAY 15TH</t>
  </si>
  <si>
    <t>ADEDIRAN A. TUNDE</t>
  </si>
  <si>
    <t>AUG 17TH</t>
  </si>
  <si>
    <t>JEHREY A.</t>
  </si>
  <si>
    <t>OCT 30TH</t>
  </si>
  <si>
    <t>AJAYI. A SUCCESS</t>
  </si>
  <si>
    <t xml:space="preserve"> PHY</t>
  </si>
  <si>
    <t>JUNE 23RD</t>
  </si>
  <si>
    <t>ESAN FOLAKEMI</t>
  </si>
  <si>
    <t>KAREEM DOLAPO</t>
  </si>
  <si>
    <t>NOV 15TH</t>
  </si>
  <si>
    <t>ROTIBA DICKSON</t>
  </si>
  <si>
    <t>SEPT 19TH</t>
  </si>
  <si>
    <t>SANNI GABRIELLA</t>
  </si>
  <si>
    <t>DEC 11TH</t>
  </si>
  <si>
    <t>DUROJAIYE EDWARD</t>
  </si>
  <si>
    <t>JAN 10TH</t>
  </si>
  <si>
    <t>ADEYINKA ADEOLA</t>
  </si>
  <si>
    <t>JULY 30TH</t>
  </si>
  <si>
    <t>OLOWOSEGUN ADEBOLAM</t>
  </si>
  <si>
    <t>SEPT 1ST</t>
  </si>
  <si>
    <t>ADAMS ADEOLA</t>
  </si>
  <si>
    <t>JUNE 5TH</t>
  </si>
  <si>
    <t>AKANDE RASHIDAT</t>
  </si>
  <si>
    <t>JULY 16TH</t>
  </si>
  <si>
    <r>
      <t xml:space="preserve">              </t>
    </r>
    <r>
      <rPr>
        <b/>
        <sz val="11"/>
        <color rgb="FF000000"/>
        <rFont val="Calibri"/>
      </rPr>
      <t xml:space="preserve"> NAMES</t>
    </r>
  </si>
  <si>
    <t>LODGE</t>
  </si>
  <si>
    <r>
      <t xml:space="preserve"> </t>
    </r>
    <r>
      <rPr>
        <b/>
        <sz val="11"/>
        <color rgb="FF000000"/>
        <rFont val="Calibri"/>
      </rPr>
      <t>D.O.B</t>
    </r>
  </si>
  <si>
    <t xml:space="preserve"> Adesida Bolaji</t>
  </si>
  <si>
    <t>Monalisa lodge</t>
  </si>
  <si>
    <t xml:space="preserve">     F</t>
  </si>
  <si>
    <t xml:space="preserve">Emekpo Zeal .E </t>
  </si>
  <si>
    <t>One Tree Hill</t>
  </si>
  <si>
    <t xml:space="preserve">      M</t>
  </si>
  <si>
    <t>Ojo Taiwo</t>
  </si>
  <si>
    <t xml:space="preserve">   M</t>
  </si>
  <si>
    <t>Ogunsola Tolulope</t>
  </si>
  <si>
    <t>Jadesola Hostl</t>
  </si>
  <si>
    <t>Ojo Kehinde</t>
  </si>
  <si>
    <t>ARE</t>
  </si>
  <si>
    <t>Abundant life hstl</t>
  </si>
  <si>
    <t xml:space="preserve">       F</t>
  </si>
  <si>
    <t>Oladogba Babatunde</t>
  </si>
  <si>
    <t>Titanic lodge</t>
  </si>
  <si>
    <t>Ayodele Idowu</t>
  </si>
  <si>
    <t>annex 2 rm 118</t>
  </si>
  <si>
    <t>Benneth Joel</t>
  </si>
  <si>
    <t>Castle of mercy apatapiti</t>
  </si>
  <si>
    <t>Oke Femi Folorunso</t>
  </si>
  <si>
    <t>Redemption way</t>
  </si>
  <si>
    <t>Dada Samuel Kayode</t>
  </si>
  <si>
    <t>BDDKEM lodge</t>
  </si>
  <si>
    <t>Shittu Odunayo Joshua</t>
  </si>
  <si>
    <t xml:space="preserve">       M</t>
  </si>
  <si>
    <t>Idogho Oaajite Franklyn</t>
  </si>
  <si>
    <t xml:space="preserve">Royal estate </t>
  </si>
  <si>
    <t>Daramola Ayomikun</t>
  </si>
  <si>
    <t>Adeniyi hall</t>
  </si>
  <si>
    <t>Mordi Ebenezar</t>
  </si>
  <si>
    <t>opposite sir alade</t>
  </si>
  <si>
    <t xml:space="preserve">     M</t>
  </si>
  <si>
    <t>Awoyemi Glory Tolulope</t>
  </si>
  <si>
    <t>Jadesola hostel</t>
  </si>
  <si>
    <t xml:space="preserve">         F</t>
  </si>
  <si>
    <t>Adetunji Korede</t>
  </si>
  <si>
    <t>Onabowale Onabode Elijah</t>
  </si>
  <si>
    <t>Embassy lodge</t>
  </si>
  <si>
    <t>Adidoye Tolulope</t>
  </si>
  <si>
    <t>Jadesola hostel rm143</t>
  </si>
  <si>
    <t xml:space="preserve">      F</t>
  </si>
  <si>
    <t>Olajide Anuoluwapo</t>
  </si>
  <si>
    <t>Peeble of mercy</t>
  </si>
  <si>
    <t>Adu Oluwadamilola</t>
  </si>
  <si>
    <t>Adsonic</t>
  </si>
  <si>
    <t>Abioye Abraham oyewumi</t>
  </si>
  <si>
    <t>Ogunmola Ayodele</t>
  </si>
  <si>
    <t>Royal Palace</t>
  </si>
  <si>
    <t>Owolabi Bukola</t>
  </si>
  <si>
    <t>Stateline junction</t>
  </si>
  <si>
    <t>Fatukasi Olamigoke</t>
  </si>
  <si>
    <t>Cassava hostel</t>
  </si>
  <si>
    <t>Adebisi Olabisi</t>
  </si>
  <si>
    <t>Redemption manson</t>
  </si>
  <si>
    <t>Ijato Oluwagbenga</t>
  </si>
  <si>
    <t>Adeniyi hostel</t>
  </si>
  <si>
    <t>Ogunmola Oluwadamilola .o</t>
  </si>
  <si>
    <t>Shanghai lodge aba</t>
  </si>
  <si>
    <t>Ogundipe Olufemi. R</t>
  </si>
  <si>
    <t>One  united</t>
  </si>
  <si>
    <t>Akinwalie Oluwasanmi</t>
  </si>
  <si>
    <t>Adebayo Adewale John</t>
  </si>
  <si>
    <t>Road block area</t>
  </si>
  <si>
    <t>Ayeni Akolade Samuel</t>
  </si>
  <si>
    <t>rm111 Akindeko</t>
  </si>
  <si>
    <t>Ogunleye oluwabukola</t>
  </si>
  <si>
    <t>Bsd unity lodge aba</t>
  </si>
  <si>
    <t>Olasanayo Tobi</t>
  </si>
  <si>
    <t>Redemption Sec</t>
  </si>
  <si>
    <t>Olorunmola Isaac</t>
  </si>
  <si>
    <t>Beside best lodge</t>
  </si>
  <si>
    <t>Akpobasa Martins</t>
  </si>
  <si>
    <t>Off campus</t>
  </si>
  <si>
    <t>Olubowale Ajoke</t>
  </si>
  <si>
    <t>Jibowu annext 2, 102</t>
  </si>
  <si>
    <t>Adeoye Oreitan Mary</t>
  </si>
  <si>
    <t>Aso rock lodge futa junction</t>
  </si>
  <si>
    <t>Ademola Banke</t>
  </si>
  <si>
    <t>Royal villa</t>
  </si>
  <si>
    <t>Orisawumi Abiola</t>
  </si>
  <si>
    <t>Vip lodge south gate</t>
  </si>
  <si>
    <t>Ilesanmi Kayode</t>
  </si>
  <si>
    <t>Students headquarters stateli</t>
  </si>
  <si>
    <t>Mulero Samuel</t>
  </si>
  <si>
    <t>Adedayo Timileyin</t>
  </si>
  <si>
    <t>Apatapiti</t>
  </si>
  <si>
    <t>Falola Temitope</t>
  </si>
  <si>
    <t>Singapore lodge</t>
  </si>
  <si>
    <t>Ikpotokin Osalumhense</t>
  </si>
  <si>
    <t>Ebunoluwa hostel stateline</t>
  </si>
  <si>
    <t>Jimoh Adewumi Dorcas</t>
  </si>
  <si>
    <t>Jadesola hostl 136</t>
  </si>
  <si>
    <t>Adeniyi Samuel</t>
  </si>
  <si>
    <t>Akindeko hostel</t>
  </si>
  <si>
    <t>Odunlade Emmanuel</t>
  </si>
  <si>
    <t>Lord strength villa</t>
  </si>
  <si>
    <t>Farotimi Ayobami</t>
  </si>
  <si>
    <t>Bakare Temitope</t>
  </si>
  <si>
    <t>Evergreen lodge</t>
  </si>
  <si>
    <t>Oluwole Hellen Oluwatosin</t>
  </si>
  <si>
    <t>Hitterland logde</t>
  </si>
  <si>
    <t>Akinpelu Abiola</t>
  </si>
  <si>
    <t>UPR</t>
  </si>
  <si>
    <t>Rm104 Akindeko hostel</t>
  </si>
  <si>
    <t>Olaiya Sunday Temitope</t>
  </si>
  <si>
    <t>Opp accf Jesu palace</t>
  </si>
  <si>
    <t>Alexander Joshua</t>
  </si>
  <si>
    <t>Mega villa</t>
  </si>
  <si>
    <t>Kayode Oluwaseun</t>
  </si>
  <si>
    <t>Mercy lodge</t>
  </si>
  <si>
    <t>Adedeji Samson Adebanjo</t>
  </si>
  <si>
    <t>Best lodge</t>
  </si>
  <si>
    <t>Boma Blessing</t>
  </si>
  <si>
    <t>Omodoroni Ajibola Isaac</t>
  </si>
  <si>
    <t>No40 olko street</t>
  </si>
  <si>
    <t>Jacob Abosede Jesutofunmi</t>
  </si>
  <si>
    <t>Jibowu annex 2 rm116</t>
  </si>
  <si>
    <t>Ishola Mariam</t>
  </si>
  <si>
    <t>Stateline rd opp Thomas crwn</t>
  </si>
  <si>
    <t>Adeyinka Adetunji</t>
  </si>
  <si>
    <t>Obembe Taiwo</t>
  </si>
  <si>
    <t>Behind rescue lodge</t>
  </si>
  <si>
    <t>Bolarinde Oluwanifemi</t>
  </si>
  <si>
    <t>Jibowu annex 2</t>
  </si>
  <si>
    <t xml:space="preserve">Adegun Tolulope </t>
  </si>
  <si>
    <t>Marrb lodge bsd accf</t>
  </si>
  <si>
    <t>Buoro Ruth</t>
  </si>
  <si>
    <t>Adekeye Sanmi Owoseni</t>
  </si>
  <si>
    <t>Jaak hostel</t>
  </si>
  <si>
    <t>Adelanwa Adeniyi</t>
  </si>
  <si>
    <t>Akindeko hall</t>
  </si>
  <si>
    <t>Olaseini Opiola</t>
  </si>
  <si>
    <t>Adeniyi Hall</t>
  </si>
  <si>
    <t>Akindito Babatunde</t>
  </si>
  <si>
    <t>Woleph extention</t>
  </si>
  <si>
    <t>Akinbi Oluwagbemisola</t>
  </si>
  <si>
    <t>Afolabi Tolulope</t>
  </si>
  <si>
    <t>Aba transformer</t>
  </si>
  <si>
    <t xml:space="preserve">        F</t>
  </si>
  <si>
    <t>Oyebamiji Ibunkun F</t>
  </si>
  <si>
    <t>Fine touch lodge peace avnue</t>
  </si>
  <si>
    <t>Olawumi Elizabeth</t>
  </si>
  <si>
    <t>Alarape Adebimpe Tomilola</t>
  </si>
  <si>
    <t>Shittu Oluwaseun</t>
  </si>
  <si>
    <t>Akinola villa apatapiti</t>
  </si>
  <si>
    <t xml:space="preserve">     M     </t>
  </si>
  <si>
    <t>Owolabi Josiah Ayomide</t>
  </si>
  <si>
    <t>God's Favour Ezinwane</t>
  </si>
  <si>
    <t>Banjoko Gbenga</t>
  </si>
  <si>
    <t>Westend Lodge</t>
  </si>
  <si>
    <t>Abolarin Olawuyi</t>
  </si>
  <si>
    <t>Ajo Oluwafemi</t>
  </si>
  <si>
    <t>Tallest hostel</t>
  </si>
  <si>
    <t>Umeh Peter Abidemi</t>
  </si>
  <si>
    <t>BUILDING</t>
  </si>
  <si>
    <t>Firsth upstairs aba</t>
  </si>
  <si>
    <t xml:space="preserve"> Siyanbola Oladapo Joshua</t>
  </si>
  <si>
    <t>Rescue hostel</t>
  </si>
  <si>
    <t>Akinbulomo Oluwatosin</t>
  </si>
  <si>
    <t>Annex 2</t>
  </si>
  <si>
    <t>Adebola Sunday. S</t>
  </si>
  <si>
    <t>Adekoya Eniola M</t>
  </si>
  <si>
    <t>Ajayi Abosede Elizabeth</t>
  </si>
  <si>
    <t>Along Akad</t>
  </si>
  <si>
    <t>Andrew Nkem Fidelia</t>
  </si>
  <si>
    <t>Ikpoba Cosmos Daniel</t>
  </si>
  <si>
    <t>Bsd success gate villa apatapiti</t>
  </si>
  <si>
    <t>Ogundele Oluwatosin</t>
  </si>
  <si>
    <t>AEC</t>
  </si>
  <si>
    <t>Rehoboth estate,abba</t>
  </si>
  <si>
    <t>Agbidi Emmanuel Ifeanyi</t>
  </si>
  <si>
    <t>God's own lodge beside fsf</t>
  </si>
  <si>
    <t>Agboola Mercy Owolola</t>
  </si>
  <si>
    <t>main jibowu blck b rm309</t>
  </si>
  <si>
    <t>Semudara Moses</t>
  </si>
  <si>
    <t>Buga lodge</t>
  </si>
  <si>
    <t>Omolola Olanrewaju Patrick</t>
  </si>
  <si>
    <t>Arizonal quarter</t>
  </si>
  <si>
    <t>Aluko Tomilola</t>
  </si>
  <si>
    <t>Succes gate villa apatapiti</t>
  </si>
  <si>
    <t xml:space="preserve">   F</t>
  </si>
  <si>
    <t>Daramola Olumide</t>
  </si>
  <si>
    <t>Dominion planet</t>
  </si>
  <si>
    <t>Kupohuyi Mobalaji .D</t>
  </si>
  <si>
    <t xml:space="preserve">Arogundade Olawande </t>
  </si>
  <si>
    <t>1st upstairs Aba</t>
  </si>
  <si>
    <t>Akinyuwa Mosunmola</t>
  </si>
  <si>
    <t>Odudimu Oluwasegun Sam</t>
  </si>
  <si>
    <t>No46 oloko street off singapor</t>
  </si>
  <si>
    <t>Olonisakin Akinbode</t>
  </si>
  <si>
    <t>Oladunjoye Joshua. O</t>
  </si>
  <si>
    <t>Futa junction</t>
  </si>
  <si>
    <t>Akanji Oladipupo</t>
  </si>
  <si>
    <t>EMT</t>
  </si>
  <si>
    <t>Royal estate annex2 off akad</t>
  </si>
  <si>
    <t>Abaira Kemi</t>
  </si>
  <si>
    <t>Adeyina Fayoke Comfort</t>
  </si>
  <si>
    <t>F&amp;S hostel redemption road</t>
  </si>
  <si>
    <t>Otiko Temitope Idowu</t>
  </si>
  <si>
    <t>Eden lodge</t>
  </si>
  <si>
    <t>Oke Titus Oluwalowo</t>
  </si>
  <si>
    <t>Osewa Dare Joshua</t>
  </si>
  <si>
    <t>Oluseye villa bay duck</t>
  </si>
  <si>
    <t>Apolola Ayoola</t>
  </si>
  <si>
    <t>BODKEM</t>
  </si>
  <si>
    <t>Akinwumi Akintunde.M</t>
  </si>
  <si>
    <t>Aremu Adedoyin</t>
  </si>
  <si>
    <t>Elohim hostel</t>
  </si>
  <si>
    <t>Owoseni Elijah</t>
  </si>
  <si>
    <t>Orita obele G3</t>
  </si>
  <si>
    <t>Adekunle Adedayo</t>
  </si>
  <si>
    <t>Peace hostel</t>
  </si>
  <si>
    <t>Celestine Sunday Ben</t>
  </si>
  <si>
    <t>Blck c Akindeko rm11</t>
  </si>
  <si>
    <t>Awe Oluwapelumi Dare</t>
  </si>
  <si>
    <t>Divine favour lodge apatapiti</t>
  </si>
  <si>
    <t>Adeniji Samuel.A</t>
  </si>
  <si>
    <t>Oladele David</t>
  </si>
  <si>
    <t>Anaba Kenneth</t>
  </si>
  <si>
    <t>Compton Lodge</t>
  </si>
  <si>
    <t>Lasisi Adedayo</t>
  </si>
  <si>
    <t>Opp energy filling station akad</t>
  </si>
  <si>
    <t>Onigbiende Gbenga Daniel</t>
  </si>
  <si>
    <t>Equity lodge</t>
  </si>
  <si>
    <t>Osineko Temitope</t>
  </si>
  <si>
    <t>Aiyeyemitan Micheal</t>
  </si>
  <si>
    <t>Victor Emehukwu</t>
  </si>
  <si>
    <t>Olawale Oluwaseyi.o</t>
  </si>
  <si>
    <t>Ekwueme Judith Adaku</t>
  </si>
  <si>
    <t>Gold finger along queens hostl</t>
  </si>
  <si>
    <t>Adewumi Yetunde</t>
  </si>
  <si>
    <t>Samuel Oluwatobiloba.T</t>
  </si>
  <si>
    <t>Oyewumi Tolulope</t>
  </si>
  <si>
    <t>Jibowu</t>
  </si>
  <si>
    <t>Ajayi Olalekan</t>
  </si>
  <si>
    <t>Mustapha Mariam</t>
  </si>
  <si>
    <t>Ibula sow</t>
  </si>
  <si>
    <t>Okoduwa Omonefe Onyx</t>
  </si>
  <si>
    <t>Ajayi Ibunkunoluwa .M</t>
  </si>
  <si>
    <t xml:space="preserve">North gate before deeper life </t>
  </si>
  <si>
    <t>Aofolaju Damilola</t>
  </si>
  <si>
    <t>Akindeko Hall</t>
  </si>
  <si>
    <t>Onyeamal Tochi</t>
  </si>
  <si>
    <t>pavilion</t>
  </si>
  <si>
    <t>Fagunloye Toba</t>
  </si>
  <si>
    <t>Adeleke Akinwumi Sanya</t>
  </si>
  <si>
    <t>Awoliyi Oladipupo</t>
  </si>
  <si>
    <t>PY lodge</t>
  </si>
  <si>
    <t>Sallaudeen Sodiq Tunde</t>
  </si>
  <si>
    <t>Gods will lodge</t>
  </si>
  <si>
    <t>Akinnurogu Philip</t>
  </si>
  <si>
    <t>Lawrence Samuel</t>
  </si>
  <si>
    <t>Eso Ifeoluwa</t>
  </si>
  <si>
    <t>Peculiar people lodge</t>
  </si>
  <si>
    <t>Ojetunde Esther</t>
  </si>
  <si>
    <t>Fabiyi Temidayo Samson</t>
  </si>
  <si>
    <t>Okewale Joshua</t>
  </si>
  <si>
    <t>Amusement logde</t>
  </si>
  <si>
    <t>Olajide Oyindamola</t>
  </si>
  <si>
    <t xml:space="preserve">Adetola Bosede </t>
  </si>
  <si>
    <t>Medavam lodge</t>
  </si>
  <si>
    <t>Fasakin Temitope</t>
  </si>
  <si>
    <t>Lydia street</t>
  </si>
  <si>
    <t>Ogunyomi Olasunkanmi</t>
  </si>
  <si>
    <t>Koko lodge</t>
  </si>
  <si>
    <t>Fapouda Funmilayo</t>
  </si>
  <si>
    <t>Main jibowu rm154</t>
  </si>
  <si>
    <t>Okiki Israel</t>
  </si>
  <si>
    <t>sepc lodge south gate</t>
  </si>
  <si>
    <t>Okon Faith</t>
  </si>
  <si>
    <t>Justice villa</t>
  </si>
  <si>
    <t>Isijola Oluwabunmi funmi</t>
  </si>
  <si>
    <t>Jibowu annex 1 rm 119</t>
  </si>
  <si>
    <t>Adeseun Dorcas</t>
  </si>
  <si>
    <t>Ojo Seun Tosin</t>
  </si>
  <si>
    <t>vera lodge off bola internatnal.</t>
  </si>
  <si>
    <t>Ajayi Ibunkunoluwa .D</t>
  </si>
  <si>
    <t>Ketaam lodge apatapiti</t>
  </si>
  <si>
    <t>Adebayo Temitope</t>
  </si>
  <si>
    <t>Willy bright opp rcf</t>
  </si>
  <si>
    <t>Jaiyeoba Oluwafemi. E</t>
  </si>
  <si>
    <t>Abiola hostel</t>
  </si>
  <si>
    <t>Ijogun Oluwaseyi</t>
  </si>
  <si>
    <t>RCF sectariate</t>
  </si>
  <si>
    <t>Abiola Olumide</t>
  </si>
  <si>
    <t>Adedapo Ifetayo Stephen</t>
  </si>
  <si>
    <t>Favour of God villa roadblock</t>
  </si>
  <si>
    <t>Adegboyegun Oluwafemi</t>
  </si>
  <si>
    <t>Adefehinti Oluwole</t>
  </si>
  <si>
    <t>Akinsulure Opeyemi</t>
  </si>
  <si>
    <t>His grace pavillon</t>
  </si>
  <si>
    <t>Adejun Tolulope Esther</t>
  </si>
  <si>
    <t>John Julius Oluwaleke</t>
  </si>
  <si>
    <t>Divine lodge</t>
  </si>
  <si>
    <t>Awoma Segun Victor</t>
  </si>
  <si>
    <t>Jesus Palace</t>
  </si>
  <si>
    <t>Ogungbemi Paul .O</t>
  </si>
  <si>
    <t>Orita obele 2nd avenue</t>
  </si>
  <si>
    <t>Ogunleye Adeola</t>
  </si>
  <si>
    <t>Akindeko hostl</t>
  </si>
  <si>
    <t>Olagbegi Segun Dayo</t>
  </si>
  <si>
    <t>Babanumi Oyindamola</t>
  </si>
  <si>
    <t>Jibowu annex 1</t>
  </si>
  <si>
    <t>Jimoh Oluwaseun</t>
  </si>
  <si>
    <t>Casor see</t>
  </si>
  <si>
    <t xml:space="preserve">Adewumi Oluwayemisi </t>
  </si>
  <si>
    <t>Olajumoke Babatunde</t>
  </si>
  <si>
    <t>Akindeko hostel block D</t>
  </si>
  <si>
    <t>Arowolo Funmilayo</t>
  </si>
  <si>
    <t>Airforce 1</t>
  </si>
  <si>
    <t>Majaro Adedoyin Oreoluwa</t>
  </si>
  <si>
    <t>Shodipe Opeyemi Michael</t>
  </si>
  <si>
    <t>Bakare Moses</t>
  </si>
  <si>
    <t>Ayeye Mojisola Omotayo</t>
  </si>
  <si>
    <t>Amusan Abiola</t>
  </si>
  <si>
    <t>okala</t>
  </si>
  <si>
    <t>Onyenbuchi Eugene Onyeka</t>
  </si>
  <si>
    <t>Ofueu Sylvester</t>
  </si>
  <si>
    <t>Super lodge</t>
  </si>
  <si>
    <t>Abegunde Oluwaseun</t>
  </si>
  <si>
    <t>God's will villa</t>
  </si>
  <si>
    <t>Afolabi Samuel</t>
  </si>
  <si>
    <t>kanolink hostel</t>
  </si>
  <si>
    <t>Akinmusere Adewale</t>
  </si>
  <si>
    <t>Olowonogba Temple of God</t>
  </si>
  <si>
    <t>Royal eagle</t>
  </si>
  <si>
    <t>Ogunlana Oluwaniyi</t>
  </si>
  <si>
    <t>Awoyale Oluwafemi</t>
  </si>
  <si>
    <t>Akindeko</t>
  </si>
  <si>
    <t>Abimbola Sunday Bukola</t>
  </si>
  <si>
    <t>Damisa Issac</t>
  </si>
  <si>
    <t>Idowu Yemisi Mary</t>
  </si>
  <si>
    <t>room19 capital hill</t>
  </si>
  <si>
    <t>Akinola Oluwafemi</t>
  </si>
  <si>
    <t>Succes hostel</t>
  </si>
  <si>
    <t>Idhiarhi Evelyn Miyen</t>
  </si>
  <si>
    <t>Annex b</t>
  </si>
  <si>
    <t>Obi Cypress Chijindu</t>
  </si>
  <si>
    <t>Akinola Stephen Muyiwa</t>
  </si>
  <si>
    <t>Abiola/demmama lodge</t>
  </si>
  <si>
    <t>Akintaro Abigel Abosede</t>
  </si>
  <si>
    <t>Victory villa Aba</t>
  </si>
  <si>
    <t>Kayode Abimbola</t>
  </si>
  <si>
    <t>Camelot lodge</t>
  </si>
  <si>
    <t>Omoya Joshua Abimbola</t>
  </si>
  <si>
    <t xml:space="preserve">Ajadi Omolola </t>
  </si>
  <si>
    <t>Alade Bolajo Blessing</t>
  </si>
  <si>
    <t>Annex 1</t>
  </si>
  <si>
    <t>Ariyo Damilola</t>
  </si>
  <si>
    <t>Okafor Ayodele</t>
  </si>
  <si>
    <t>Ogundimu Olubunmi Peter</t>
  </si>
  <si>
    <t>Okpenyi Hope</t>
  </si>
  <si>
    <t>Ogunleye Victor Iyanuoluwa</t>
  </si>
  <si>
    <t>Olutade Damilola O</t>
  </si>
  <si>
    <t xml:space="preserve">Rm107 akindeko hostel </t>
  </si>
  <si>
    <t>Ogunleye Ayobami</t>
  </si>
  <si>
    <t>Ibironke lodge rm1</t>
  </si>
  <si>
    <t>Fagbemi Olalekan Ayobami</t>
  </si>
  <si>
    <t>Okegbemi Ebunlomo</t>
  </si>
  <si>
    <t>Olawumi.A.oladipo</t>
  </si>
  <si>
    <t>Akingboye Olatunde E</t>
  </si>
  <si>
    <t>Adefioye Idowu</t>
  </si>
  <si>
    <t>Folorunso Oluwatosin</t>
  </si>
  <si>
    <t>Ajayi Aanuoluwapo</t>
  </si>
  <si>
    <t>Futa north gate</t>
  </si>
  <si>
    <t>Adebayo Stephen</t>
  </si>
  <si>
    <t>Izuagie Emanuella</t>
  </si>
  <si>
    <t>Divine grace lodge</t>
  </si>
  <si>
    <t>Ajisola Olabisi Temiloluwa</t>
  </si>
  <si>
    <t>Thomas Adebusayo</t>
  </si>
  <si>
    <t>Olukunle Babatunde</t>
  </si>
  <si>
    <t>Destiny lodge</t>
  </si>
  <si>
    <t>Aye Solomon</t>
  </si>
  <si>
    <t>Unique lodge</t>
  </si>
  <si>
    <t>Ogunode Ayodeji O</t>
  </si>
  <si>
    <t>Akad area</t>
  </si>
  <si>
    <t xml:space="preserve">Samuel Oluwakemi </t>
  </si>
  <si>
    <t>Modauam hostel</t>
  </si>
  <si>
    <t xml:space="preserve"> Ajose Olamilakan Samuel</t>
  </si>
  <si>
    <t>Kikiowo Bukunmi</t>
  </si>
  <si>
    <t>Royal estate off akad</t>
  </si>
  <si>
    <t>Ajayi Abimbola Esther</t>
  </si>
  <si>
    <t>Ibironke lodge</t>
  </si>
  <si>
    <t>Oluwayomi Oluwafunso</t>
  </si>
  <si>
    <t>Daniel Kolapo Emmanuel</t>
  </si>
  <si>
    <t>Adeniyi hostel rm108</t>
  </si>
  <si>
    <t>Farayibi Ayomide Adeboye</t>
  </si>
  <si>
    <t xml:space="preserve">    M</t>
  </si>
  <si>
    <t>Ibrahim Zainab Modupe</t>
  </si>
  <si>
    <t>Oyekan Damilola</t>
  </si>
  <si>
    <t>Fara Fara's hostel</t>
  </si>
  <si>
    <t>Oyeleye Timileyin Femi</t>
  </si>
  <si>
    <t>Ayoade Aderinsola</t>
  </si>
  <si>
    <t>Asawole Oludayo</t>
  </si>
  <si>
    <t>Lydia junction</t>
  </si>
  <si>
    <t>Adekola John Adebayo</t>
  </si>
  <si>
    <t>Daramola Tolu</t>
  </si>
  <si>
    <t>Dorllars lodge aba</t>
  </si>
  <si>
    <t>Adekunle Mary Oluwatosin</t>
  </si>
  <si>
    <t xml:space="preserve"> Akinyemi Olabode Felix</t>
  </si>
  <si>
    <t>Ogannote Oyindamola</t>
  </si>
  <si>
    <t>Bodkem</t>
  </si>
  <si>
    <t>Omikunle Paul Ayomide</t>
  </si>
  <si>
    <t>Adefaye Wumi Toyin</t>
  </si>
  <si>
    <t>Alpha suite</t>
  </si>
  <si>
    <t>Bamidele Adedoyin</t>
  </si>
  <si>
    <t>Ikusika Isaac</t>
  </si>
  <si>
    <t xml:space="preserve">frnt of sunny Ade's house </t>
  </si>
  <si>
    <t>Fatukasi Oluwaseun</t>
  </si>
  <si>
    <t>Owoseni Grace.O</t>
  </si>
  <si>
    <t>Awoyemi Olajide .o</t>
  </si>
  <si>
    <t>Awosika Tolani</t>
  </si>
  <si>
    <t>Fajana Oluwatosin</t>
  </si>
  <si>
    <t>Odumuyiwa Ayobami</t>
  </si>
  <si>
    <t>Akinshipe Olusola T</t>
  </si>
  <si>
    <t>Obayomi Ayoola Emmanuel</t>
  </si>
  <si>
    <t>Adefehinti Oluwasegun</t>
  </si>
  <si>
    <t>Lydia street off futa south gate</t>
  </si>
  <si>
    <t>Atugege  Matthew</t>
  </si>
  <si>
    <t>Oladipupo Abdulwaifab</t>
  </si>
  <si>
    <t>Uncorruptable seed lodge</t>
  </si>
  <si>
    <t>Adeleke kehinde Gboyega</t>
  </si>
  <si>
    <t>MSC</t>
  </si>
  <si>
    <t>Energy lodge</t>
  </si>
  <si>
    <t>Oladimeji Akintomide</t>
  </si>
  <si>
    <t>Celebrity lodge aba</t>
  </si>
  <si>
    <t>Bamidele Busola</t>
  </si>
  <si>
    <t>Jadesola</t>
  </si>
  <si>
    <t>Olaniyan Wumi Dorcas</t>
  </si>
  <si>
    <t>Rm145 Jadesola hostel</t>
  </si>
  <si>
    <t>Ademiluyi Yetunde</t>
  </si>
  <si>
    <t>Peace residnc bsd resque jctn</t>
  </si>
  <si>
    <t>Bajulaye Olakunle Solomon</t>
  </si>
  <si>
    <t>Oludimu Oluwafemi</t>
  </si>
  <si>
    <t>Da bak Hostel</t>
  </si>
  <si>
    <t>Ayodele Isaac</t>
  </si>
  <si>
    <t>Omole Tosin Elizabeth</t>
  </si>
  <si>
    <t xml:space="preserve">  </t>
  </si>
  <si>
    <t>Adewale Oluwatobi</t>
  </si>
  <si>
    <t>Ekure Blessing O</t>
  </si>
  <si>
    <t>Essien Rebecca Imaobong</t>
  </si>
  <si>
    <t>Jibowu hostel</t>
  </si>
  <si>
    <t>Adamu Oluwarinu Bunmi</t>
  </si>
  <si>
    <t>Annex 1 rm 103</t>
  </si>
  <si>
    <t xml:space="preserve">Alli Oluwatomisin </t>
  </si>
  <si>
    <t>Nwaege Joshua</t>
  </si>
  <si>
    <t>Thousand lodge alejololwo</t>
  </si>
  <si>
    <t>Babarinde Oluwatosin</t>
  </si>
  <si>
    <t>Akinrinlola Temitope Mercy</t>
  </si>
  <si>
    <t>Bamigbade Tobi Emmanuel</t>
  </si>
  <si>
    <t>Executive lodge</t>
  </si>
  <si>
    <t>Emmanuel Emechete M</t>
  </si>
  <si>
    <t>Felaoyo zone</t>
  </si>
  <si>
    <t>Idowu Joshua</t>
  </si>
  <si>
    <t>Olayoriju Emmanuel</t>
  </si>
  <si>
    <t>Jack villa</t>
  </si>
  <si>
    <t>Ajibike Abiodun M</t>
  </si>
  <si>
    <t>Blk3 rm319 abiola hall</t>
  </si>
  <si>
    <t>Okurumeh Eguono</t>
  </si>
  <si>
    <t>Omomofe Emmanuel. O</t>
  </si>
  <si>
    <t xml:space="preserve">        M</t>
  </si>
  <si>
    <t>Adediran Mercy</t>
  </si>
  <si>
    <t>Fadodun Gabriel</t>
  </si>
  <si>
    <t>Gren lodge rm9 alng DLC camp</t>
  </si>
  <si>
    <t>Doamesi Oluwole Vinyo</t>
  </si>
  <si>
    <t>Omoyele Adeola Adesina</t>
  </si>
  <si>
    <t>Peace lodge bsd rcf sectariat</t>
  </si>
  <si>
    <t>Busari Oluwadamilare</t>
  </si>
  <si>
    <t>Adetuyi k</t>
  </si>
  <si>
    <t>Akerette Oluwabunmi</t>
  </si>
  <si>
    <t>Senators lodge beside</t>
  </si>
  <si>
    <t>MASTER'S VESSEL FAMILY</t>
  </si>
  <si>
    <t>NAMES</t>
  </si>
  <si>
    <t>SCHOOL</t>
  </si>
  <si>
    <t>E MAIL ADD</t>
  </si>
  <si>
    <t>GENDER</t>
  </si>
  <si>
    <t xml:space="preserve">ANDREW SHADRACH </t>
  </si>
  <si>
    <t>SMAT</t>
  </si>
  <si>
    <r>
      <t>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JAN</t>
    </r>
  </si>
  <si>
    <t>BELLO BLESSING</t>
  </si>
  <si>
    <t>SOS</t>
  </si>
  <si>
    <t>ninoogus@yahoo.com</t>
  </si>
  <si>
    <r>
      <t>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JAN</t>
    </r>
  </si>
  <si>
    <t>AKINROTOYE PEACHES</t>
  </si>
  <si>
    <t>SAAT</t>
  </si>
  <si>
    <t>peachesakinrotoye@gmail.com</t>
  </si>
  <si>
    <t>BABATUNDE OLADIMEJI ZION</t>
  </si>
  <si>
    <t>Oladimejibabatunde665@y.com</t>
  </si>
  <si>
    <r>
      <t>3</t>
    </r>
    <r>
      <rPr>
        <vertAlign val="superscript"/>
        <sz val="9"/>
        <color rgb="FF000000"/>
        <rFont val="Calibri"/>
      </rPr>
      <t xml:space="preserve">RD </t>
    </r>
    <r>
      <rPr>
        <sz val="9"/>
        <color rgb="FF000000"/>
        <rFont val="Calibri"/>
      </rPr>
      <t>JAN</t>
    </r>
  </si>
  <si>
    <t>OLASUNKANMI ISRAEL AYOADE</t>
  </si>
  <si>
    <t>SEMS</t>
  </si>
  <si>
    <r>
      <t>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JAN</t>
    </r>
  </si>
  <si>
    <t>FOLORUNSHO OLUWAGBENGA</t>
  </si>
  <si>
    <t>SEET</t>
  </si>
  <si>
    <t>gbengagideonf@gmail.com</t>
  </si>
  <si>
    <r>
      <t>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JAN</t>
    </r>
  </si>
  <si>
    <t>OMOTOLA IBUKUNOLUWA</t>
  </si>
  <si>
    <t>S OS</t>
  </si>
  <si>
    <t>ADENIRAN OLUWAFEMI</t>
  </si>
  <si>
    <t xml:space="preserve">SET </t>
  </si>
  <si>
    <t>oluwafemmy7@gmail.com</t>
  </si>
  <si>
    <r>
      <t>16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JAN</t>
    </r>
  </si>
  <si>
    <t>JESUYANMIFE FEYINTOLUWA</t>
  </si>
  <si>
    <t>feyintoluwajesuyanmife@y.com</t>
  </si>
  <si>
    <t xml:space="preserve">ADEBAYO OLUWOLE </t>
  </si>
  <si>
    <t>adebayooluwolet@yahoo.com</t>
  </si>
  <si>
    <t xml:space="preserve">OLUWOLE  SEGUN O </t>
  </si>
  <si>
    <t xml:space="preserve">SEMS </t>
  </si>
  <si>
    <t>oluwasegun61@yahoo.com</t>
  </si>
  <si>
    <r>
      <t>18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JAN </t>
    </r>
  </si>
  <si>
    <t>AGBAJE OMOTOLANI</t>
  </si>
  <si>
    <t>SET</t>
  </si>
  <si>
    <r>
      <t>20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JAN</t>
    </r>
  </si>
  <si>
    <t xml:space="preserve">OYENIRAN SIJUADE (ASST. CORD.) </t>
  </si>
  <si>
    <t>Sijuade.oyeniran14@y.com</t>
  </si>
  <si>
    <t>21th JAN</t>
  </si>
  <si>
    <t>JESUDOWOLE OPEYEMI DORCAS</t>
  </si>
  <si>
    <t>opsy4il@yahoo.com</t>
  </si>
  <si>
    <r>
      <t>22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JAN </t>
    </r>
  </si>
  <si>
    <t>FIOLA TOLULOPE</t>
  </si>
  <si>
    <t>Fiola_tolulope@yahoo.com</t>
  </si>
  <si>
    <r>
      <t>23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JAN</t>
    </r>
  </si>
  <si>
    <t xml:space="preserve">AKINNUBI ILEMOBAYO LAURA </t>
  </si>
  <si>
    <t>akinnubi.ilemobayo.y.com</t>
  </si>
  <si>
    <r>
      <t>24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JAN</t>
    </r>
  </si>
  <si>
    <t>OYELANA ADENIYI E</t>
  </si>
  <si>
    <t>adeniyielijah@y.com</t>
  </si>
  <si>
    <r>
      <t>25</t>
    </r>
    <r>
      <rPr>
        <vertAlign val="superscript"/>
        <sz val="9"/>
        <color rgb="FF000000"/>
        <rFont val="Calibri"/>
      </rPr>
      <t xml:space="preserve">TH </t>
    </r>
    <r>
      <rPr>
        <sz val="9"/>
        <color rgb="FF000000"/>
        <rFont val="Calibri"/>
      </rPr>
      <t>JAN</t>
    </r>
  </si>
  <si>
    <t>OMOJOLA VICTOR B</t>
  </si>
  <si>
    <t>vikiflex@gmail.com</t>
  </si>
  <si>
    <r>
      <t>25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JAN</t>
    </r>
  </si>
  <si>
    <t>OJO OLADEHINDE P</t>
  </si>
  <si>
    <t>oladehindeojo@gmail.com</t>
  </si>
  <si>
    <r>
      <t>29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JAN</t>
    </r>
  </si>
  <si>
    <t>OGUNMUYIWA ABAYOMI</t>
  </si>
  <si>
    <r>
      <t>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FEB</t>
    </r>
  </si>
  <si>
    <t xml:space="preserve">JOSEPH AYODEJI </t>
  </si>
  <si>
    <t>jeremiahdejijoseph@y.com</t>
  </si>
  <si>
    <r>
      <t>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FEB</t>
    </r>
  </si>
  <si>
    <t xml:space="preserve">OLARINDE ELIZABETH </t>
  </si>
  <si>
    <r>
      <t>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FEB</t>
    </r>
  </si>
  <si>
    <t>FAJORIN DAMILOLA</t>
  </si>
  <si>
    <t xml:space="preserve">SOS </t>
  </si>
  <si>
    <t>Seyihbk87@hotmail.com</t>
  </si>
  <si>
    <t>AKINDOYIN OLUWAFISAYO H</t>
  </si>
  <si>
    <t>Mail2hellen009@y.com</t>
  </si>
  <si>
    <t>DARAMOLA JOSEPH</t>
  </si>
  <si>
    <t>dreliberty@gmail.com</t>
  </si>
  <si>
    <r>
      <t>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FEB</t>
    </r>
  </si>
  <si>
    <t>SMART G. DANIEL</t>
  </si>
  <si>
    <t>hesjithe@gmail.com</t>
  </si>
  <si>
    <t>ALADE FUNMILAYO E</t>
  </si>
  <si>
    <t>Aladefunmilayo67@y.com</t>
  </si>
  <si>
    <r>
      <t>11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FEB </t>
    </r>
  </si>
  <si>
    <t xml:space="preserve">OLAMISEGBE ADETOYE </t>
  </si>
  <si>
    <r>
      <t>12</t>
    </r>
    <r>
      <rPr>
        <vertAlign val="superscript"/>
        <sz val="9"/>
        <color rgb="FF000000"/>
        <rFont val="Calibri"/>
      </rPr>
      <t xml:space="preserve">TH  </t>
    </r>
    <r>
      <rPr>
        <sz val="9"/>
        <color rgb="FF000000"/>
        <rFont val="Calibri"/>
      </rPr>
      <t>FEB</t>
    </r>
  </si>
  <si>
    <t>YELE ADEYELE</t>
  </si>
  <si>
    <t>yeledeyele@gmail.com</t>
  </si>
  <si>
    <r>
      <t>12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FEB</t>
    </r>
  </si>
  <si>
    <t>ADODO OLAOLUWA RAY</t>
  </si>
  <si>
    <t>adodoolaoluwa@gmail.com</t>
  </si>
  <si>
    <r>
      <t>14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FEB</t>
    </r>
  </si>
  <si>
    <t>ADESUYI BLESSING OLUWASEUN</t>
  </si>
  <si>
    <t>bravoblessing@yahoo.com</t>
  </si>
  <si>
    <r>
      <t>15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FEB</t>
    </r>
  </si>
  <si>
    <t>AGBELUSI OLORUNTOBA SAMUEL</t>
  </si>
  <si>
    <t>oloruntobaagbelusi@y.com</t>
  </si>
  <si>
    <r>
      <t>17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FEB</t>
    </r>
  </si>
  <si>
    <t>OLASEHINDE ROTIMI</t>
  </si>
  <si>
    <r>
      <t>22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FEB</t>
    </r>
  </si>
  <si>
    <t>OPATOKE ABIMBOLA</t>
  </si>
  <si>
    <r>
      <t>25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FEB</t>
    </r>
  </si>
  <si>
    <t>ADETOLA OMOWUMI RUTH</t>
  </si>
  <si>
    <t>OGUNLEYE ADEKUNLE ANTHONY</t>
  </si>
  <si>
    <t>Kunleye25@gmail.com</t>
  </si>
  <si>
    <t>IMORHOA CHARLES</t>
  </si>
  <si>
    <t>imorhoacharles@gmai.com</t>
  </si>
  <si>
    <t>ADEGBULUGBE OLUWANIFEMI</t>
  </si>
  <si>
    <t>adegbulugbenifemi@gmail.com</t>
  </si>
  <si>
    <r>
      <t>28</t>
    </r>
    <r>
      <rPr>
        <vertAlign val="superscript"/>
        <sz val="9"/>
        <color rgb="FF000000"/>
        <rFont val="Calibri"/>
      </rPr>
      <t xml:space="preserve">TH </t>
    </r>
    <r>
      <rPr>
        <sz val="9"/>
        <color rgb="FF000000"/>
        <rFont val="Calibri"/>
      </rPr>
      <t>FEB</t>
    </r>
  </si>
  <si>
    <t>PASEDA SEUN TOYOSI</t>
  </si>
  <si>
    <r>
      <t>29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FEB</t>
    </r>
  </si>
  <si>
    <t>OLADOSU MICHAEL OLAYINKA</t>
  </si>
  <si>
    <t>oladosuolayinka@aol.com</t>
  </si>
  <si>
    <t>TIJANI GOODNESS</t>
  </si>
  <si>
    <r>
      <t>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MAR</t>
    </r>
  </si>
  <si>
    <t>AKINTOLURE BUKOLA</t>
  </si>
  <si>
    <t>bukolaakintelure@gmail.com</t>
  </si>
  <si>
    <r>
      <t>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MAR</t>
    </r>
  </si>
  <si>
    <t>EDUNWA NELSON</t>
  </si>
  <si>
    <t>edunwanelson@gmail.com</t>
  </si>
  <si>
    <r>
      <t>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MAR</t>
    </r>
  </si>
  <si>
    <t>MUMINI BUKUNMI</t>
  </si>
  <si>
    <t>bestbukunmi@yahoo.com</t>
  </si>
  <si>
    <r>
      <t>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</si>
  <si>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TALABI YINKA</t>
  </si>
  <si>
    <t>Yinkson01@yahoo.com</t>
  </si>
  <si>
    <t>IMUERE DESMOND</t>
  </si>
  <si>
    <t>desmondimuere@gmail.com</t>
  </si>
  <si>
    <r>
      <t>12</t>
    </r>
    <r>
      <rPr>
        <vertAlign val="superscript"/>
        <sz val="9"/>
        <color rgb="FF000000"/>
        <rFont val="Calibri"/>
      </rPr>
      <t xml:space="preserve">TH </t>
    </r>
    <r>
      <rPr>
        <sz val="9"/>
        <color rgb="FF000000"/>
        <rFont val="Calibri"/>
      </rPr>
      <t>MAR</t>
    </r>
  </si>
  <si>
    <t>ADELEGAN OLUWAGBEMI</t>
  </si>
  <si>
    <t>padelegan@yahoo.com</t>
  </si>
  <si>
    <r>
      <t>12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</si>
  <si>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ONWUKA OSITA DAMIAN</t>
  </si>
  <si>
    <t>damianosinache@gmail.com</t>
  </si>
  <si>
    <r>
      <t>13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</si>
  <si>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ADEKUNLE ADEYINKA</t>
  </si>
  <si>
    <t>Yincute4real@gmail.com</t>
  </si>
  <si>
    <r>
      <t>14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</si>
  <si>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AWOPETU MARTINA</t>
  </si>
  <si>
    <t>awopetumartina@gmail.com</t>
  </si>
  <si>
    <r>
      <t>16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</si>
  <si>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ELUE GIFT RITA</t>
  </si>
  <si>
    <r>
      <t>17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</si>
  <si>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ABIMBOLA JOSHUA SEYI</t>
  </si>
  <si>
    <t>abimbolajoshua24@gmail.com</t>
  </si>
  <si>
    <r>
      <t>18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</si>
  <si>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AKEJU OLUWABUSAYO</t>
  </si>
  <si>
    <r>
      <t>19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</si>
  <si>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OGUNLADE MIRACLE</t>
  </si>
  <si>
    <t>Toluwase103@gmail.com</t>
  </si>
  <si>
    <r>
      <t>20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</si>
  <si>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ODETAYO BOLUWATIFE T</t>
  </si>
  <si>
    <t>Odetayo.boluwatife@GMAIL.com</t>
  </si>
  <si>
    <r>
      <t>22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MAR</t>
    </r>
  </si>
  <si>
    <t>ADEBAYO OLABODE</t>
  </si>
  <si>
    <r>
      <t>23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MAR</t>
    </r>
  </si>
  <si>
    <t>OGUNDANNA PRECIOUS</t>
  </si>
  <si>
    <t>adeayoogundanna@yahoo.com</t>
  </si>
  <si>
    <t>ALADE ABAYOMI ADELEKE</t>
  </si>
  <si>
    <r>
      <t>26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</si>
  <si>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ADEOGUN OLOLADE</t>
  </si>
  <si>
    <t>adeogunololade@gmail.com</t>
  </si>
  <si>
    <t>ALABI ANUOLUWAPO</t>
  </si>
  <si>
    <r>
      <t>28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</si>
  <si>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ODETUNDE OLANREWAJU</t>
  </si>
  <si>
    <t xml:space="preserve">SAAT </t>
  </si>
  <si>
    <t>Odetundeolanrewaju4@gmail.com</t>
  </si>
  <si>
    <t>OLAOYE OLUWATIMILEHIN</t>
  </si>
  <si>
    <t>timmiechamp@gmail.com</t>
  </si>
  <si>
    <t>BAKARE OLUBUNMI MAYOWA</t>
  </si>
  <si>
    <r>
      <t>29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MAR</t>
    </r>
  </si>
  <si>
    <t>AKINSEYE SUNDAY</t>
  </si>
  <si>
    <t>sundayakinseye@yahoo.com</t>
  </si>
  <si>
    <t>KEGBE CYNTHIA UFUOMA</t>
  </si>
  <si>
    <t>cynthiakegbe@yahoo.com</t>
  </si>
  <si>
    <r>
      <t>30</t>
    </r>
    <r>
      <rPr>
        <vertAlign val="superscript"/>
        <sz val="9"/>
        <color rgb="FF000000"/>
        <rFont val="Calibri"/>
      </rPr>
      <t xml:space="preserve">TH </t>
    </r>
    <r>
      <rPr>
        <sz val="9"/>
        <color rgb="FF000000"/>
        <rFont val="Calibri"/>
      </rPr>
      <t>MAR</t>
    </r>
  </si>
  <si>
    <t>SOYEBO OPEOLUWA</t>
  </si>
  <si>
    <r>
      <t>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APRIL</t>
    </r>
  </si>
  <si>
    <t>SHEBA WALE</t>
  </si>
  <si>
    <t>shebawale@yahoo.com</t>
  </si>
  <si>
    <r>
      <t>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APRIL</t>
    </r>
  </si>
  <si>
    <t>ADETULA RICHARD</t>
  </si>
  <si>
    <t>Richard.adetula@gmail.com</t>
  </si>
  <si>
    <r>
      <t>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</si>
  <si>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GODSWILL ADAMU`</t>
  </si>
  <si>
    <r>
      <t>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</si>
  <si>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KOMOLAFE OLAJUMOKE</t>
  </si>
  <si>
    <t>g.prestige@yahoo.com</t>
  </si>
  <si>
    <t>AMORE DAMILOLA</t>
  </si>
  <si>
    <t>amoredamilola@gmail.com</t>
  </si>
  <si>
    <r>
      <t>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APRL</t>
    </r>
  </si>
  <si>
    <t>SHITTU OLUWASEUN</t>
  </si>
  <si>
    <t>Holuwarsheunjenny77@gmail.com</t>
  </si>
  <si>
    <r>
      <t>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</si>
  <si>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OGUNTOKUN ESTHER</t>
  </si>
  <si>
    <t>Esther.oguntokun@yahoo.com</t>
  </si>
  <si>
    <r>
      <t>10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</si>
  <si>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ADEBOWALE MICHAEL A</t>
  </si>
  <si>
    <t>Micade33@gmail.com</t>
  </si>
  <si>
    <t xml:space="preserve">OLADIPUPO AYORINDE </t>
  </si>
  <si>
    <t>Spik2ayo@gmail.com</t>
  </si>
  <si>
    <r>
      <t>11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</si>
  <si>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JOHN ENOBONG</t>
  </si>
  <si>
    <t>johnenobong13@gmail.com</t>
  </si>
  <si>
    <r>
      <t>13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</si>
  <si>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AJISEYIRI AJOKE AGNES</t>
  </si>
  <si>
    <r>
      <t>14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</si>
  <si>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AKINYEMI OLUMIDE</t>
  </si>
  <si>
    <t>lumideez@yahoo.co.uk</t>
  </si>
  <si>
    <t xml:space="preserve">BALOGUN TUNDE </t>
  </si>
  <si>
    <t>OLABIWONNU ABIODUN DAVID</t>
  </si>
  <si>
    <t>Abiodun.olanbiwonnu@mail.com</t>
  </si>
  <si>
    <t xml:space="preserve">OLUPONNA OLUWATAYO </t>
  </si>
  <si>
    <t>Oluponna22@yahoo.com</t>
  </si>
  <si>
    <r>
      <t>16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</si>
  <si>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OLUWATOBI IYANUOLUWA</t>
  </si>
  <si>
    <t>Iyanutobi1@yahoo.com</t>
  </si>
  <si>
    <r>
      <t>15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APRL</t>
    </r>
  </si>
  <si>
    <t>AFE TEMIDAYO EBENEZER</t>
  </si>
  <si>
    <t>FARAMO ADEWALE</t>
  </si>
  <si>
    <t>Olajustin810@gmail.com</t>
  </si>
  <si>
    <r>
      <t>21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APRIL</t>
    </r>
  </si>
  <si>
    <t>OLUFUNMI ADEBOWALE</t>
  </si>
  <si>
    <t>Sanvilla69@yahoo.com</t>
  </si>
  <si>
    <r>
      <t>22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APRIL</t>
    </r>
  </si>
  <si>
    <t>ADEGBORO EMMANUEL. S</t>
  </si>
  <si>
    <t>sirshanme@gmail.com</t>
  </si>
  <si>
    <r>
      <t>22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APRIL </t>
    </r>
  </si>
  <si>
    <t>OLORUNTOYIN FEMI A</t>
  </si>
  <si>
    <t>------------</t>
  </si>
  <si>
    <t>OLALEYE ISRAEL OLUMIDE</t>
  </si>
  <si>
    <t>Olaleyeisrael99@livemail.com</t>
  </si>
  <si>
    <r>
      <t>22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>APRIL</t>
    </r>
  </si>
  <si>
    <t>NZEMEKE CHNEYEM</t>
  </si>
  <si>
    <r>
      <t>27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</si>
  <si>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LAWAL JAMEAS OLADIPUPO</t>
  </si>
  <si>
    <t>olamultiplylaw@yahoo.com</t>
  </si>
  <si>
    <r>
      <t>29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</si>
  <si>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OLABANJI OLUKUNLE</t>
  </si>
  <si>
    <t>olukay_olas@yahoo.com</t>
  </si>
  <si>
    <r>
      <t>30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APRIL</t>
    </r>
  </si>
  <si>
    <t>FADIRAN ABIOLA</t>
  </si>
  <si>
    <r>
      <t>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MAY</t>
    </r>
  </si>
  <si>
    <t>OYEKANMI LEKAN</t>
  </si>
  <si>
    <t>l.oyekanmi@yahoo.com</t>
  </si>
  <si>
    <r>
      <t>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</si>
  <si>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OLADEJO MERCY</t>
  </si>
  <si>
    <t>mercyoladejo@yahoo.com</t>
  </si>
  <si>
    <t>OKUNUGA OLUWATOSIN S</t>
  </si>
  <si>
    <t>Okunnugaoluwatosin@yahoo.com</t>
  </si>
  <si>
    <r>
      <t>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</si>
  <si>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AKINDELE DAVID</t>
  </si>
  <si>
    <t>ADEBAYO VICTOR B</t>
  </si>
  <si>
    <t>Vadebayo16@yahoo.com</t>
  </si>
  <si>
    <r>
      <t>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</si>
  <si>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OYEYEMI SEFUNMI</t>
  </si>
  <si>
    <t>OLAJIDE ADEMOLA</t>
  </si>
  <si>
    <t>Olajideademola84@gmail.com</t>
  </si>
  <si>
    <t>EJIGA SHADRACH</t>
  </si>
  <si>
    <t>ejigashadrach@yahoo.com</t>
  </si>
  <si>
    <r>
      <t>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</si>
  <si>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OKELEYE OLOLADE</t>
  </si>
  <si>
    <t>Lolade.okeleye2@gmail.com</t>
  </si>
  <si>
    <r>
      <t>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</si>
  <si>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AKINBOBOYE JOHNSON</t>
  </si>
  <si>
    <t>ifedayojohn@gmail.com</t>
  </si>
  <si>
    <r>
      <t>10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</si>
  <si>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GARBA JOHN SIMEON</t>
  </si>
  <si>
    <t>garbaj@gmail.com</t>
  </si>
  <si>
    <t>AGBOOLA OLUWATOSIN</t>
  </si>
  <si>
    <t>tosinagboolalizzy@yahoo.com</t>
  </si>
  <si>
    <r>
      <t>12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</si>
  <si>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 xml:space="preserve">BHADMUS OLUFUNKE </t>
  </si>
  <si>
    <t>phunkepet@yahoo.com</t>
  </si>
  <si>
    <r>
      <t>13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</si>
  <si>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AKINDELE DAVID K</t>
  </si>
  <si>
    <t>Davidkehinde41@yahoo.com</t>
  </si>
  <si>
    <r>
      <t>14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</si>
  <si>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AKANDE ADEOLA</t>
  </si>
  <si>
    <r>
      <t>15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</si>
  <si>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THOMAS VICTORIA</t>
  </si>
  <si>
    <t>Vot4god@yahoo.com</t>
  </si>
  <si>
    <r>
      <t>17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</si>
  <si>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DADA FELIX O</t>
  </si>
  <si>
    <t>VINCENT PHILLIP E</t>
  </si>
  <si>
    <t>vincentphilipemmam@yahoo.co</t>
  </si>
  <si>
    <r>
      <t>18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</si>
  <si>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AKINYELE PELUMI</t>
  </si>
  <si>
    <t>pelumiakinyele@gmail.com</t>
  </si>
  <si>
    <r>
      <t>18</t>
    </r>
    <r>
      <rPr>
        <vertAlign val="superscript"/>
        <sz val="9"/>
        <color rgb="FF000000"/>
        <rFont val="Calibri"/>
      </rPr>
      <t xml:space="preserve">TH </t>
    </r>
    <r>
      <rPr>
        <sz val="9"/>
        <color rgb="FF000000"/>
        <rFont val="Calibri"/>
      </rPr>
      <t>MAY</t>
    </r>
  </si>
  <si>
    <t>FAGBAMIGBE TAIWO</t>
  </si>
  <si>
    <t>Fagbamigbe_taiwo@yahoo.com</t>
  </si>
  <si>
    <r>
      <t>20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</si>
  <si>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MASEBINU GODWIN O.</t>
  </si>
  <si>
    <t>Godwinmasebinu@yahoo.com</t>
  </si>
  <si>
    <r>
      <t>21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MAY</t>
    </r>
  </si>
  <si>
    <t>ADODO VICTORIA</t>
  </si>
  <si>
    <t>ODUO SUNDAY</t>
  </si>
  <si>
    <t>IMOLETUYI BUKOLA</t>
  </si>
  <si>
    <r>
      <t>25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</si>
  <si>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ONIBI ABISOLA O.</t>
  </si>
  <si>
    <t>Onibiabisola1@yahoo.com</t>
  </si>
  <si>
    <r>
      <t>27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</si>
  <si>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AKINMABOGUNJE ADELAJA</t>
  </si>
  <si>
    <r>
      <t>27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 AY</t>
    </r>
  </si>
  <si>
    <t>JOLAOYE SAMUEL O</t>
  </si>
  <si>
    <t>jolaoyesamuel12@gmail.com</t>
  </si>
  <si>
    <t xml:space="preserve">ADEYEYE SAMUEL A </t>
  </si>
  <si>
    <t>Sadeyeye44@yahoo.com</t>
  </si>
  <si>
    <r>
      <t>28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</si>
  <si>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ADARAMOLA OLUWASEYI</t>
  </si>
  <si>
    <t>oluwaseyiadaramola@yahoo.com</t>
  </si>
  <si>
    <r>
      <t>29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MAY</t>
    </r>
  </si>
  <si>
    <t>EWEBAJO OLUWASEYI</t>
  </si>
  <si>
    <t>seyiewebajo@gmail.com</t>
  </si>
  <si>
    <r>
      <t>31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MAY</t>
    </r>
  </si>
  <si>
    <t>JAGUN OMOLARA</t>
  </si>
  <si>
    <t>Larryluv4christ@yahoo.com</t>
  </si>
  <si>
    <r>
      <t>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JUNE</t>
    </r>
  </si>
  <si>
    <t>IJANUSI IYINTITO</t>
  </si>
  <si>
    <t>iyintitoijanusi@gmail.com</t>
  </si>
  <si>
    <r>
      <t>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JUNE</t>
    </r>
  </si>
  <si>
    <t>ADEGBOLA BAYO</t>
  </si>
  <si>
    <t xml:space="preserve">OLUMIDE ABIMBOLA </t>
  </si>
  <si>
    <t>AKINDELE BABATUNDE</t>
  </si>
  <si>
    <r>
      <t>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JUNE</t>
    </r>
  </si>
  <si>
    <t xml:space="preserve">OLAJIDE ABIMBOLA </t>
  </si>
  <si>
    <r>
      <t>11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JUNE</t>
    </r>
  </si>
  <si>
    <t>OGUNLOKUN SAMUEL</t>
  </si>
  <si>
    <r>
      <t>13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JUNE</t>
    </r>
  </si>
  <si>
    <t>AKINWANDE PRECIOUS</t>
  </si>
  <si>
    <r>
      <t>19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JUNE</t>
    </r>
  </si>
  <si>
    <t>ADEJUMO OLAJIDE</t>
  </si>
  <si>
    <t>Adejumo_olajide@yahoo.com</t>
  </si>
  <si>
    <r>
      <t>22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JUNE</t>
    </r>
  </si>
  <si>
    <t>ADEDOKUN MARIA KEHINDE</t>
  </si>
  <si>
    <t>kadedokunmaria@yahoo.com</t>
  </si>
  <si>
    <t>OLAWAIYE OLUWASEYI</t>
  </si>
  <si>
    <r>
      <t>23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JUNE</t>
    </r>
  </si>
  <si>
    <t xml:space="preserve">IRIKEFE ONORIODE </t>
  </si>
  <si>
    <t>onosiaeffe@gmail.com</t>
  </si>
  <si>
    <r>
      <t>24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JUNE</t>
    </r>
  </si>
  <si>
    <t>OLUWABUYI ABIMBOLA</t>
  </si>
  <si>
    <t>bimbowande@gmail.com</t>
  </si>
  <si>
    <t>ADEPOJU ADEDAYO</t>
  </si>
  <si>
    <t>BDG</t>
  </si>
  <si>
    <t>adedayoelizabeth@yahoo.com</t>
  </si>
  <si>
    <t xml:space="preserve">ADEDUGBE IREOLUWA </t>
  </si>
  <si>
    <t>ireoluwaenoch@gmail.com</t>
  </si>
  <si>
    <r>
      <t>28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JUNE</t>
    </r>
  </si>
  <si>
    <t>ARAYELA JESUTOFUNMI</t>
  </si>
  <si>
    <t>OKONTA EVELYN N</t>
  </si>
  <si>
    <r>
      <t>30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JUNE</t>
    </r>
  </si>
  <si>
    <t>OLAGUNJU TOSIN</t>
  </si>
  <si>
    <t>AYIYI HARRY</t>
  </si>
  <si>
    <r>
      <t>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JULY</t>
    </r>
  </si>
  <si>
    <t>MAKINDE SAMUEL B</t>
  </si>
  <si>
    <t>samakkybest@gmail.com</t>
  </si>
  <si>
    <t>IDRIS OLUWATOSIN D</t>
  </si>
  <si>
    <t>Edrisedris09@yahoo.com</t>
  </si>
  <si>
    <t xml:space="preserve">OKOYE PATRICK </t>
  </si>
  <si>
    <t>Pokoye91@gmail.com</t>
  </si>
  <si>
    <r>
      <t>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JULY</t>
    </r>
  </si>
  <si>
    <t>OYEDIRAN OYEWOLE</t>
  </si>
  <si>
    <t>oyediraoyewole@gmail.com</t>
  </si>
  <si>
    <r>
      <t>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</si>
  <si>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ADESANYA SEUN</t>
  </si>
  <si>
    <t>OLUREMI SAMUEL</t>
  </si>
  <si>
    <t>Samyom1995@yahoo.com</t>
  </si>
  <si>
    <r>
      <t>10</t>
    </r>
    <r>
      <rPr>
        <vertAlign val="superscript"/>
        <sz val="9"/>
        <color rgb="FF000000"/>
        <rFont val="Calibri"/>
      </rPr>
      <t xml:space="preserve">TH </t>
    </r>
    <r>
      <rPr>
        <sz val="9"/>
        <color rgb="FF000000"/>
        <rFont val="Calibri"/>
      </rPr>
      <t xml:space="preserve"> JULY</t>
    </r>
  </si>
  <si>
    <t>TAIWO OMOWUYI</t>
  </si>
  <si>
    <r>
      <t>11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</si>
  <si>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OLOYEDE ITUNUOLUWA</t>
  </si>
  <si>
    <t>Highteewzy.mo@gmail.com</t>
  </si>
  <si>
    <t>ADELUSI BUSAYO</t>
  </si>
  <si>
    <t>floxybright@rocketmail.com</t>
  </si>
  <si>
    <t>ADENIRAN S FRANSIS</t>
  </si>
  <si>
    <t>franciscares4u@gmail.com</t>
  </si>
  <si>
    <r>
      <t>12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</si>
  <si>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OYEGUN GABRIEL</t>
  </si>
  <si>
    <t>Talk2mcgcleff@yahoomail.com</t>
  </si>
  <si>
    <t>OLUGOSI OLUSOLA</t>
  </si>
  <si>
    <t>olabayomisola@yahoo.com</t>
  </si>
  <si>
    <r>
      <t>13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</si>
  <si>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AYENIYO OLAYEMI</t>
  </si>
  <si>
    <t>ayeniyoolayemi@gmail.com</t>
  </si>
  <si>
    <t>AYEBAMERU DOYINSOLA</t>
  </si>
  <si>
    <t>ayebamerudoyin@yahoo.com</t>
  </si>
  <si>
    <r>
      <t>14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</si>
  <si>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 xml:space="preserve">ALAO SUNDAY </t>
  </si>
  <si>
    <t xml:space="preserve">AJAYI MOYINOLUWA </t>
  </si>
  <si>
    <t>Ajayimoyinoluwa895@yahoo.com</t>
  </si>
  <si>
    <t>DIXON OLUWATOSIN</t>
  </si>
  <si>
    <r>
      <t>15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</si>
  <si>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AJALA AFOLABI NIYI</t>
  </si>
  <si>
    <t>Andy_valentino007@yahoo.com</t>
  </si>
  <si>
    <t>AKINKUNMI TOLULOPE</t>
  </si>
  <si>
    <t>tolulopeakinkunmi@yahoo.com</t>
  </si>
  <si>
    <r>
      <t>16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</si>
  <si>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OLAJIDE DAMILOLA</t>
  </si>
  <si>
    <t>damilola.olajide@yahoo.com</t>
  </si>
  <si>
    <r>
      <t>18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</si>
  <si>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ADEYONNU ADETOYE</t>
  </si>
  <si>
    <r>
      <t>19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</si>
  <si>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OLUWANIYI BLESSING</t>
  </si>
  <si>
    <r>
      <t>20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</si>
  <si>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OLAPADE SEGUN</t>
  </si>
  <si>
    <t>isaacolap@yahoo.com</t>
  </si>
  <si>
    <t>OYEKOLA OLAITAN</t>
  </si>
  <si>
    <t>oyekolapetr@yahoo.com</t>
  </si>
  <si>
    <r>
      <t>22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JULY</t>
    </r>
  </si>
  <si>
    <t>BABFEMI AYODELE</t>
  </si>
  <si>
    <t>josephbabafemi@yahoo.com</t>
  </si>
  <si>
    <r>
      <t>23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JULY</t>
    </r>
  </si>
  <si>
    <t>ADEJUMOBI VICTORIA</t>
  </si>
  <si>
    <r>
      <t>25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</si>
  <si>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ADEKUNLE DAMILARE</t>
  </si>
  <si>
    <t>Adekunle21952@gmail.com</t>
  </si>
  <si>
    <t>AKINDOLURE FOLARIN</t>
  </si>
  <si>
    <t>Akindolure9@gmail.com</t>
  </si>
  <si>
    <r>
      <t>26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</si>
  <si>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OGUNGBEMI OLUWASUNKANMI</t>
  </si>
  <si>
    <t>paulobotos@gmail.com</t>
  </si>
  <si>
    <r>
      <t>27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</si>
  <si>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TITILADUNAYO SAMUEL</t>
  </si>
  <si>
    <t>samtitiladunayo@yahoo.com</t>
  </si>
  <si>
    <r>
      <t>28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JULY</t>
    </r>
  </si>
  <si>
    <t>BAMIGBOYE EMMANUEL</t>
  </si>
  <si>
    <t>Emmabammy5@gmail.com</t>
  </si>
  <si>
    <r>
      <t>31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JULY</t>
    </r>
  </si>
  <si>
    <t>OLALEYE OLUWASEUN</t>
  </si>
  <si>
    <t>heritageolaleye@gmail.com</t>
  </si>
  <si>
    <r>
      <t>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AUG</t>
    </r>
  </si>
  <si>
    <t>OPEYEMI GIDEON O.</t>
  </si>
  <si>
    <t>opeyemigideon@yahoo.com</t>
  </si>
  <si>
    <r>
      <t>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AUG</t>
    </r>
  </si>
  <si>
    <t>AKINYEMI AKINJIDE</t>
  </si>
  <si>
    <t xml:space="preserve">SEET </t>
  </si>
  <si>
    <r>
      <t>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AUG</t>
    </r>
  </si>
  <si>
    <t>ADENOLA EMMANUEL</t>
  </si>
  <si>
    <r>
      <t>11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AUG</t>
    </r>
  </si>
  <si>
    <t>ASHOLA OLUWASEYI</t>
  </si>
  <si>
    <t>Asholadavid@ymail.com</t>
  </si>
  <si>
    <t>OMONIYI OLUWATOBILOBA M.</t>
  </si>
  <si>
    <t>Tobiloba.omoniyi@yahoo.com</t>
  </si>
  <si>
    <r>
      <t>15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AUG</t>
    </r>
  </si>
  <si>
    <t>‘DIMIPE BAYO</t>
  </si>
  <si>
    <r>
      <t>16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AUG</t>
    </r>
  </si>
  <si>
    <t>IHUA GBUBEMI PETER</t>
  </si>
  <si>
    <t>Atomicwave2009@yahoo.com</t>
  </si>
  <si>
    <r>
      <t>19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AUG</t>
    </r>
  </si>
  <si>
    <t>OJO OLUWATAYO</t>
  </si>
  <si>
    <t>FALEYE OLADAYO</t>
  </si>
  <si>
    <r>
      <t>20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AUG</t>
    </r>
  </si>
  <si>
    <t>ADELUMO TEMITOPE</t>
  </si>
  <si>
    <t>OMOLEYE DAMILOLA</t>
  </si>
  <si>
    <t>Daryeleen485510@gmail.com</t>
  </si>
  <si>
    <t>OLANIPEKUN OLOLADE</t>
  </si>
  <si>
    <r>
      <t>24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AUG</t>
    </r>
  </si>
  <si>
    <t xml:space="preserve">AGBOOLA OLUWASEUN PETER </t>
  </si>
  <si>
    <t>Niflex000@gmail.com</t>
  </si>
  <si>
    <r>
      <t>26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AUG</t>
    </r>
  </si>
  <si>
    <t>ONIBI ABISOLA</t>
  </si>
  <si>
    <t>onibiabisola1@yahoo.com</t>
  </si>
  <si>
    <r>
      <t>27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AUG</t>
    </r>
  </si>
  <si>
    <t>ALUFA SOLA</t>
  </si>
  <si>
    <r>
      <t>28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AUG</t>
    </r>
  </si>
  <si>
    <t>ALMAROOF OLAITAN</t>
  </si>
  <si>
    <t>horlaitejrocker@gmail.com</t>
  </si>
  <si>
    <r>
      <t>29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 AUG</t>
    </r>
  </si>
  <si>
    <t>ADUBI TEMITOPE</t>
  </si>
  <si>
    <t>adubitemitope@gmail.com</t>
  </si>
  <si>
    <t xml:space="preserve"> F</t>
  </si>
  <si>
    <r>
      <t>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SEPT </t>
    </r>
  </si>
  <si>
    <t>SHITTU OLUWASEUN A.</t>
  </si>
  <si>
    <r>
      <t>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</si>
  <si>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OGUNNEYE SAMUEL</t>
  </si>
  <si>
    <t>QUADRI OLAYINKA REUBEN</t>
  </si>
  <si>
    <t>Reubenquadri5@gmail.com</t>
  </si>
  <si>
    <r>
      <t>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</si>
  <si>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AYEBODE VICTOR O</t>
  </si>
  <si>
    <t>Excelvictosin19@gmail.com</t>
  </si>
  <si>
    <r>
      <t>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</si>
  <si>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ODEPIDAN JOSHUA  O.</t>
  </si>
  <si>
    <t>joushman@yahoo.com</t>
  </si>
  <si>
    <r>
      <t>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</si>
  <si>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OYEYEMI OLUWAPELUMI</t>
  </si>
  <si>
    <r>
      <t>11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</si>
  <si>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AMOWE BUSAYO</t>
  </si>
  <si>
    <t>amoweolubusayo@gmail.com</t>
  </si>
  <si>
    <r>
      <t>12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</si>
  <si>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OLATIMILEYIN SUNDAY</t>
  </si>
  <si>
    <t>olatimileyindamilola@gmail.com</t>
  </si>
  <si>
    <r>
      <t>13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</si>
  <si>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ADEYEYE VICTORIA B</t>
  </si>
  <si>
    <t>V_adeyeye@yahoo.com</t>
  </si>
  <si>
    <r>
      <t>15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</si>
  <si>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OLAIYA OLUSOLA</t>
  </si>
  <si>
    <t>Olusola.olaya@yahoo.com</t>
  </si>
  <si>
    <r>
      <t>18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</si>
  <si>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ADELEYE ADEDAPO</t>
  </si>
  <si>
    <t>dapsjoe@yahoo.com</t>
  </si>
  <si>
    <r>
      <t>21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SEPT</t>
    </r>
  </si>
  <si>
    <t>ADIGUN AYOMIPOSI</t>
  </si>
  <si>
    <t>Ayomiposiabiola@yahoo.com</t>
  </si>
  <si>
    <r>
      <t>23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SEPT</t>
    </r>
  </si>
  <si>
    <t>AKEREJOLA OLUWATOSIN</t>
  </si>
  <si>
    <t>Jolatosin23@yahoo.com</t>
  </si>
  <si>
    <t>SUNDAY EMMANUEL ADAH</t>
  </si>
  <si>
    <t>emmydissolis@yahoo.com</t>
  </si>
  <si>
    <t>POWE JOHN</t>
  </si>
  <si>
    <t>Powe74@gmail.com</t>
  </si>
  <si>
    <r>
      <t>24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</si>
  <si>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OGUNLEYE SUNDAY</t>
  </si>
  <si>
    <t>Fdalex09@yahoo.com</t>
  </si>
  <si>
    <r>
      <t>26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</si>
  <si>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ADEFISOYE KAYODE</t>
  </si>
  <si>
    <t>Adefisoyeblessing@rocketmail.com</t>
  </si>
  <si>
    <t>OLADOYINBO BABATUNDE</t>
  </si>
  <si>
    <t>OLAGUNJU DESMOND</t>
  </si>
  <si>
    <r>
      <t>27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</si>
  <si>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TEMITOPE PHILLIPS</t>
  </si>
  <si>
    <t>temitopephil@gmail.com</t>
  </si>
  <si>
    <r>
      <t>27</t>
    </r>
    <r>
      <rPr>
        <vertAlign val="superscript"/>
        <sz val="9"/>
        <color rgb="FF000000"/>
        <rFont val="Calibri"/>
      </rPr>
      <t xml:space="preserve">TH </t>
    </r>
    <r>
      <rPr>
        <sz val="9"/>
        <color rgb="FF000000"/>
        <rFont val="Calibri"/>
      </rPr>
      <t>SEPT</t>
    </r>
  </si>
  <si>
    <t>MICHAEL ALADETAN</t>
  </si>
  <si>
    <t>alaskaaladetan@yahoo.com</t>
  </si>
  <si>
    <r>
      <t>29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SEPT</t>
    </r>
  </si>
  <si>
    <t>BALOGUN OYEWUNMI FAITH</t>
  </si>
  <si>
    <t>aderinsolaoyewunmi@gmail.com</t>
  </si>
  <si>
    <r>
      <t>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OCT</t>
    </r>
  </si>
  <si>
    <t xml:space="preserve">MEDOYE OLUSOJI I. </t>
  </si>
  <si>
    <t>Medoye.olusoji@yahoo.com</t>
  </si>
  <si>
    <r>
      <t>3</t>
    </r>
    <r>
      <rPr>
        <vertAlign val="superscript"/>
        <sz val="9"/>
        <color rgb="FF000000"/>
        <rFont val="Calibri"/>
      </rPr>
      <t>RD</t>
    </r>
    <r>
      <rPr>
        <sz val="9"/>
        <color rgb="FF000000"/>
        <rFont val="Calibri"/>
      </rPr>
      <t xml:space="preserve"> OCT</t>
    </r>
  </si>
  <si>
    <t>AMOKADE TAIWO</t>
  </si>
  <si>
    <r>
      <t>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</si>
  <si>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>DOSUNMU ADEYINKA</t>
  </si>
  <si>
    <t>Adeyinkaolusegun29@gmail.com</t>
  </si>
  <si>
    <t>ABIDOYE OMOLARA.V</t>
  </si>
  <si>
    <t>abidoyeomolara11@yahoo.com</t>
  </si>
  <si>
    <t>HAMMOND OLUWOLE</t>
  </si>
  <si>
    <t>holuwole@yahoo.com</t>
  </si>
  <si>
    <r>
      <t>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</si>
  <si>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>FAGBOHUN TEMITAYO</t>
  </si>
  <si>
    <t>Jtayo1@yahoo.com</t>
  </si>
  <si>
    <r>
      <t>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</si>
  <si>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 xml:space="preserve">DAHUNSI JOY </t>
  </si>
  <si>
    <r>
      <t>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OCT.</t>
    </r>
  </si>
  <si>
    <t>ABIDAKUN IFEDAYO AYOMIDE</t>
  </si>
  <si>
    <t>abidakunifedayo@yahoo.com</t>
  </si>
  <si>
    <r>
      <t>11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</si>
  <si>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>COKER IFEOLUWA GREGORY</t>
  </si>
  <si>
    <t>Ifecoker03@gmail.com</t>
  </si>
  <si>
    <t>OLALEYE ISRAEL</t>
  </si>
  <si>
    <r>
      <t>12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</si>
  <si>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>NZETEH NWAKAEGO</t>
  </si>
  <si>
    <t>nwakaegonzeteh@yahoo.com</t>
  </si>
  <si>
    <t>JIMOH OMOWUNMI</t>
  </si>
  <si>
    <t>bjmary@gmail.com</t>
  </si>
  <si>
    <t>ADEYEMO OLUBUNMI</t>
  </si>
  <si>
    <t>Supergal0001@yahoo.com</t>
  </si>
  <si>
    <r>
      <t>13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</si>
  <si>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>OLABODE EMMANUEL</t>
  </si>
  <si>
    <t>OYEBAMIJI FOLAHANMI</t>
  </si>
  <si>
    <t xml:space="preserve">ADEYEYE BOSEDE </t>
  </si>
  <si>
    <r>
      <t>15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0CT</t>
    </r>
  </si>
  <si>
    <t>ADENIGBA SAMUEL</t>
  </si>
  <si>
    <t>Samuelforgod@yahoo.com</t>
  </si>
  <si>
    <r>
      <t>21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OCT</t>
    </r>
  </si>
  <si>
    <t>FAMOSAYA ADEDAYO</t>
  </si>
  <si>
    <r>
      <t>22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OCT</t>
    </r>
  </si>
  <si>
    <t xml:space="preserve">DARAMOLA TOLU </t>
  </si>
  <si>
    <t>Daramola_tolu@yahoo.com</t>
  </si>
  <si>
    <t>ADEGBITE OLUWAFEMI</t>
  </si>
  <si>
    <t>adegbitefemisamson@gmail.com</t>
  </si>
  <si>
    <r>
      <t>24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</si>
  <si>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 xml:space="preserve">AYEGORO OLUWABOR </t>
  </si>
  <si>
    <t xml:space="preserve"> CVE</t>
  </si>
  <si>
    <t>oluwabori@gmail.com</t>
  </si>
  <si>
    <r>
      <t>25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</si>
  <si>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>AWOSANMI DAMILARE NAOMI</t>
  </si>
  <si>
    <t>Dami_tunbi@yahoo.com</t>
  </si>
  <si>
    <r>
      <t>26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</si>
  <si>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 xml:space="preserve">OLUKOJU AYOMIDE </t>
  </si>
  <si>
    <t>johnolukoju@gmail.com</t>
  </si>
  <si>
    <t>IGE WLSON T</t>
  </si>
  <si>
    <t>Ige.wilson.tosin@gmail.com</t>
  </si>
  <si>
    <r>
      <t>27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</si>
  <si>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>OGUNFOLAJU OLALEKAN</t>
  </si>
  <si>
    <t>ogunfolajuolalekan94@yahoo.com</t>
  </si>
  <si>
    <r>
      <t>30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OCT</t>
    </r>
  </si>
  <si>
    <t>OGAGBAYI OLUMUYIWA</t>
  </si>
  <si>
    <t>Muyiwaogagbayi @yahoo.com</t>
  </si>
  <si>
    <t>AJAYI WURAOLA</t>
  </si>
  <si>
    <t>olufolayemi@gmail.com</t>
  </si>
  <si>
    <r>
      <t>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NOV</t>
    </r>
  </si>
  <si>
    <t xml:space="preserve">FAMILONI OLAJUMOKE </t>
  </si>
  <si>
    <r>
      <t>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</si>
  <si>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>OJELADE PELUMI</t>
  </si>
  <si>
    <t>Pelumi_pelumi@yahoo.co.uk</t>
  </si>
  <si>
    <r>
      <t>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</si>
  <si>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>ADENIYI MATTEUW</t>
  </si>
  <si>
    <r>
      <t>13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</si>
  <si>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>OWON FAARI TEMITOPE</t>
  </si>
  <si>
    <t>topzy@gmail.com</t>
  </si>
  <si>
    <r>
      <t>15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</si>
  <si>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 xml:space="preserve">AJIBOYE YETUNDE </t>
  </si>
  <si>
    <t>D2dmama@yahoo.com</t>
  </si>
  <si>
    <t xml:space="preserve">ADEWUYI ADEBIMPE </t>
  </si>
  <si>
    <t>Bimpay2013@yahoo.com</t>
  </si>
  <si>
    <r>
      <t>16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</si>
  <si>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>MOHAMMED IDRIS OLUSESI</t>
  </si>
  <si>
    <t>meedris@yahoo.com</t>
  </si>
  <si>
    <r>
      <t>17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</si>
  <si>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>JEGEDE SEUN</t>
  </si>
  <si>
    <t>Seunjege4christ@yahoo.com</t>
  </si>
  <si>
    <r>
      <t>19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</si>
  <si>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>OMOTOSHO SEGUN S</t>
  </si>
  <si>
    <r>
      <t>27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</si>
  <si>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>ABGETOLA OLUWAFEMI</t>
  </si>
  <si>
    <t>Agbetola24@gmail.com</t>
  </si>
  <si>
    <t>AKINRO AYODEJI</t>
  </si>
  <si>
    <t>akinroayodeji@yahoo.com</t>
  </si>
  <si>
    <r>
      <t>28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</si>
  <si>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>USIFO MARY</t>
  </si>
  <si>
    <t>hardesuwa@yahoo.com</t>
  </si>
  <si>
    <r>
      <t>24</t>
    </r>
    <r>
      <rPr>
        <vertAlign val="superscript"/>
        <sz val="9"/>
        <color rgb="FF000000"/>
        <rFont val="Calibri"/>
      </rPr>
      <t xml:space="preserve">TH </t>
    </r>
    <r>
      <rPr>
        <sz val="9"/>
        <color rgb="FF000000"/>
        <rFont val="Calibri"/>
      </rPr>
      <t>NOV</t>
    </r>
  </si>
  <si>
    <t>OLAFASAKIN OLATUNJI</t>
  </si>
  <si>
    <t>Fashtee92@gmail.com</t>
  </si>
  <si>
    <r>
      <t>24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</si>
  <si>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>AGBETOLA OLUWAFEMI</t>
  </si>
  <si>
    <t>Oluwafemi4me@gmail.com</t>
  </si>
  <si>
    <t>SOBOWALE RAPHEAL. A</t>
  </si>
  <si>
    <t>raphealsobowale@gmail.com</t>
  </si>
  <si>
    <r>
      <t>29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NOV</t>
    </r>
  </si>
  <si>
    <t>KAYODE SHERIF A</t>
  </si>
  <si>
    <t>Kayodesherifadebayo@gmail.com</t>
  </si>
  <si>
    <r>
      <t>1</t>
    </r>
    <r>
      <rPr>
        <vertAlign val="superscript"/>
        <sz val="9"/>
        <color rgb="FF000000"/>
        <rFont val="Calibri"/>
      </rPr>
      <t>ST</t>
    </r>
    <r>
      <rPr>
        <sz val="9"/>
        <color rgb="FF000000"/>
        <rFont val="Calibri"/>
      </rPr>
      <t xml:space="preserve"> DEC</t>
    </r>
  </si>
  <si>
    <t xml:space="preserve">AYENI  TEMIDAYO </t>
  </si>
  <si>
    <t>Dayuscharity2003@yahoo.com</t>
  </si>
  <si>
    <r>
      <t>2</t>
    </r>
    <r>
      <rPr>
        <vertAlign val="superscript"/>
        <sz val="9"/>
        <color rgb="FF000000"/>
        <rFont val="Calibri"/>
      </rPr>
      <t xml:space="preserve">ND </t>
    </r>
    <r>
      <rPr>
        <sz val="9"/>
        <color rgb="FF000000"/>
        <rFont val="Calibri"/>
      </rPr>
      <t>DEC</t>
    </r>
  </si>
  <si>
    <t xml:space="preserve">ADEYA ADEKUNLE </t>
  </si>
  <si>
    <t>Adeya_mccoy@yahoo.com</t>
  </si>
  <si>
    <r>
      <t>4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</si>
  <si>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ATANLUSI EMMANUELLA</t>
  </si>
  <si>
    <t>thayutha@yahoo.com</t>
  </si>
  <si>
    <r>
      <t>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</si>
  <si>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FAJULUGBE OPEYEMI</t>
  </si>
  <si>
    <t>Clavicord4jazz@gmail.com</t>
  </si>
  <si>
    <t xml:space="preserve">ASIGOH ODUNAYO </t>
  </si>
  <si>
    <t>asigoh2@gmail.com</t>
  </si>
  <si>
    <r>
      <t>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</si>
  <si>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TAYLOR OLUWASEYI</t>
  </si>
  <si>
    <t>Taylotseyi45@yahoo.com</t>
  </si>
  <si>
    <r>
      <t>9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</si>
  <si>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AKINGBOYE PATRICIA</t>
  </si>
  <si>
    <t>Odunayo4path@yahoo.com</t>
  </si>
  <si>
    <t>FALADE SIMILEOLUWA</t>
  </si>
  <si>
    <t>simileoluwafalade@yahoo.co.uk</t>
  </si>
  <si>
    <r>
      <t>12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</si>
  <si>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OKEBUNMI ODUNAYO</t>
  </si>
  <si>
    <r>
      <t>13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</si>
  <si>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OLASANMI OLAYINKA</t>
  </si>
  <si>
    <t>olasphushorolasphushor@yahoo.c</t>
  </si>
  <si>
    <r>
      <t>15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</si>
  <si>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FADEBI OLADOTUN O</t>
  </si>
  <si>
    <t>keluvdoyun@gmail.com</t>
  </si>
  <si>
    <t>DARAMOLA ADEKUNLE</t>
  </si>
  <si>
    <t>Kunledorams @ovi.com</t>
  </si>
  <si>
    <t>KEHINDE ABIODUN</t>
  </si>
  <si>
    <t>Toallmypals2005@yahoo.com</t>
  </si>
  <si>
    <r>
      <t>16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</si>
  <si>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AJIBUWA BENEDICT</t>
  </si>
  <si>
    <t>obewediet@yahoo.com</t>
  </si>
  <si>
    <t>BAKARE RAMOTA O</t>
  </si>
  <si>
    <t>Littlerammy4luv@yahoo.com</t>
  </si>
  <si>
    <r>
      <t>17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</si>
  <si>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ADEGBAYE BIDEMI</t>
  </si>
  <si>
    <r>
      <t>18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</si>
  <si>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AKINNUGBA DEBORAH</t>
  </si>
  <si>
    <t>akindebrah@gmail.com</t>
  </si>
  <si>
    <r>
      <t>20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</si>
  <si>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OMOGUNLOYE SUNDAY</t>
  </si>
  <si>
    <r>
      <t>22</t>
    </r>
    <r>
      <rPr>
        <vertAlign val="superscript"/>
        <sz val="9"/>
        <color rgb="FF000000"/>
        <rFont val="Calibri"/>
      </rPr>
      <t>ND</t>
    </r>
    <r>
      <rPr>
        <sz val="9"/>
        <color rgb="FF000000"/>
        <rFont val="Calibri"/>
      </rPr>
      <t xml:space="preserve"> DEC</t>
    </r>
  </si>
  <si>
    <t>OLALERE OLAPEGBA</t>
  </si>
  <si>
    <r>
      <t>27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</si>
  <si>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ADEGORIOYE DAVID</t>
  </si>
  <si>
    <t>adegborioyedavid@gmail.com</t>
  </si>
  <si>
    <t>OYEWOLE KAYODE</t>
  </si>
  <si>
    <t>Oyewole.kayode@yahoo.com</t>
  </si>
  <si>
    <r>
      <t>28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</si>
  <si>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t>QUIST OLAJUMOKE</t>
  </si>
  <si>
    <r>
      <t>30</t>
    </r>
    <r>
      <rPr>
        <vertAlign val="superscript"/>
        <sz val="9"/>
        <color rgb="FF000000"/>
        <rFont val="Calibri"/>
      </rPr>
      <t>TH</t>
    </r>
    <r>
      <rPr>
        <sz val="9"/>
        <color rgb="FF000000"/>
        <rFont val="Calibri"/>
      </rPr>
      <t xml:space="preserve"> DEC</t>
    </r>
  </si>
  <si>
    <r>
      <rPr>
        <b/>
        <sz val="11"/>
        <color rgb="FF000000"/>
        <rFont val="AR CENA"/>
      </rPr>
      <t xml:space="preserve">                                        </t>
    </r>
    <r>
      <rPr>
        <b/>
        <u/>
        <sz val="11"/>
        <color rgb="FF000000"/>
        <rFont val="AR CENA"/>
      </rPr>
      <t>HEIRS OF GOD GENERATION 2016/2017</t>
    </r>
  </si>
  <si>
    <t>Disu Francis Abiodun</t>
  </si>
  <si>
    <t>08084229208</t>
  </si>
  <si>
    <t>1st Jan</t>
  </si>
  <si>
    <t>Alawode Adedayo</t>
  </si>
  <si>
    <t>07032283817</t>
  </si>
  <si>
    <t>4th Jan</t>
  </si>
  <si>
    <t>Adeyeye Olumide</t>
  </si>
  <si>
    <t>08169774763</t>
  </si>
  <si>
    <t>5th Jan</t>
  </si>
  <si>
    <t>Ogunbiyi Temitope</t>
  </si>
  <si>
    <t>08064393103</t>
  </si>
  <si>
    <t>9th Jan</t>
  </si>
  <si>
    <t>Akinmulero Funmilayo</t>
  </si>
  <si>
    <t>07062964901</t>
  </si>
  <si>
    <t>10th Jan</t>
  </si>
  <si>
    <t>Omogbemi Nelson D.</t>
  </si>
  <si>
    <t>08066503889</t>
  </si>
  <si>
    <t>Akinmolayan Oluwafemi Paul</t>
  </si>
  <si>
    <t>08067898531</t>
  </si>
  <si>
    <t>11th Jan</t>
  </si>
  <si>
    <t xml:space="preserve"> Ogunmodede Tolulope B.</t>
  </si>
  <si>
    <t>08037722407</t>
  </si>
  <si>
    <t>13th Jan</t>
  </si>
  <si>
    <t>Ajayi Oluwatosin</t>
  </si>
  <si>
    <t>07036555818</t>
  </si>
  <si>
    <t>18th Jan</t>
  </si>
  <si>
    <t>Tijani Abiola</t>
  </si>
  <si>
    <t>08025323332</t>
  </si>
  <si>
    <t>21st Jan</t>
  </si>
  <si>
    <t>Akintoroye Oluwakayomide F.</t>
  </si>
  <si>
    <t>08139353268</t>
  </si>
  <si>
    <t>23rd Jan</t>
  </si>
  <si>
    <t>Amona Elizabeth</t>
  </si>
  <si>
    <t>08166809866</t>
  </si>
  <si>
    <t>25th Jan</t>
  </si>
  <si>
    <t>Akintuyi Akinyele P.</t>
  </si>
  <si>
    <t>08026755862</t>
  </si>
  <si>
    <t>27th Jan</t>
  </si>
  <si>
    <t>Babatunde Tosin Kunle</t>
  </si>
  <si>
    <t>08137511559</t>
  </si>
  <si>
    <t>29th Jan</t>
  </si>
  <si>
    <t>Akinmolayan Mercy T.</t>
  </si>
  <si>
    <t>07031814134</t>
  </si>
  <si>
    <t>30th Jan</t>
  </si>
  <si>
    <t>Adeola Johnson</t>
  </si>
  <si>
    <t>07066295525</t>
  </si>
  <si>
    <t>31st Jan</t>
  </si>
  <si>
    <t>Adegbulugbe Adebola</t>
  </si>
  <si>
    <t>08038232709</t>
  </si>
  <si>
    <t>Oladapo Temitope S.</t>
  </si>
  <si>
    <t xml:space="preserve">MEE  </t>
  </si>
  <si>
    <t>07081619585</t>
  </si>
  <si>
    <t>Kayode Oyeyemi S.</t>
  </si>
  <si>
    <t>07061286132</t>
  </si>
  <si>
    <t>2nd Feb</t>
  </si>
  <si>
    <t>Oke Aduragbemi</t>
  </si>
  <si>
    <t>08067030503</t>
  </si>
  <si>
    <t>Amogbon Tunde</t>
  </si>
  <si>
    <t>07032241291</t>
  </si>
  <si>
    <t>Orisaiku Olusola Precious</t>
  </si>
  <si>
    <t>08038631848</t>
  </si>
  <si>
    <t>12th Feb</t>
  </si>
  <si>
    <t>Afolabi Ayoola J.</t>
  </si>
  <si>
    <t>08032499009</t>
  </si>
  <si>
    <t>13th Feb</t>
  </si>
  <si>
    <t>Odeyemi Babatunde</t>
  </si>
  <si>
    <t>08037288150</t>
  </si>
  <si>
    <t>14th Feb</t>
  </si>
  <si>
    <t xml:space="preserve">Omotosho Olanrewaju </t>
  </si>
  <si>
    <t>08051158039</t>
  </si>
  <si>
    <t>23rd Feb</t>
  </si>
  <si>
    <t>Alexander O.T</t>
  </si>
  <si>
    <t>08037748191</t>
  </si>
  <si>
    <t>27th Feb</t>
  </si>
  <si>
    <t>Ogunyomi Idowu G.</t>
  </si>
  <si>
    <t>08062107242</t>
  </si>
  <si>
    <t>29th Feb</t>
  </si>
  <si>
    <t>Ojo Ayodeji O.</t>
  </si>
  <si>
    <t>08061501940</t>
  </si>
  <si>
    <t>2nd Mar</t>
  </si>
  <si>
    <t>Opayinka Sanjo</t>
  </si>
  <si>
    <t>08087079198</t>
  </si>
  <si>
    <t>3rd Mar</t>
  </si>
  <si>
    <t>Akanbi Segun</t>
  </si>
  <si>
    <t>08063805455</t>
  </si>
  <si>
    <t>7th Mar</t>
  </si>
  <si>
    <t>Olonilua Idowu E.</t>
  </si>
  <si>
    <t>08068385211</t>
  </si>
  <si>
    <t>9th Mar</t>
  </si>
  <si>
    <t>Akinkumi Temitope</t>
  </si>
  <si>
    <t>07031254338</t>
  </si>
  <si>
    <t>13th Mar</t>
  </si>
  <si>
    <t>Oke Oluwaseun Sunday</t>
  </si>
  <si>
    <t>07032353716</t>
  </si>
  <si>
    <t>16th Mar</t>
  </si>
  <si>
    <t>Iso Maxwell O.</t>
  </si>
  <si>
    <t>08074438965</t>
  </si>
  <si>
    <t>18th Mar</t>
  </si>
  <si>
    <t>Bello Olanrewaju</t>
  </si>
  <si>
    <t>08068355451</t>
  </si>
  <si>
    <t>22nd Mar</t>
  </si>
  <si>
    <t>Daramola Olumuyiwa</t>
  </si>
  <si>
    <t>07063708447</t>
  </si>
  <si>
    <t>26th Mar</t>
  </si>
  <si>
    <t>Olaniyan Damilola</t>
  </si>
  <si>
    <t>08065979655</t>
  </si>
  <si>
    <t>28th Mar</t>
  </si>
  <si>
    <t>Adeyina Omowunmi Esther</t>
  </si>
  <si>
    <t>07034641907</t>
  </si>
  <si>
    <t>1st Apr</t>
  </si>
  <si>
    <t>Adesola Ojo</t>
  </si>
  <si>
    <t>08039775360</t>
  </si>
  <si>
    <t>2nd Apr</t>
  </si>
  <si>
    <t>Aguda Temitope O.</t>
  </si>
  <si>
    <t>08134684751</t>
  </si>
  <si>
    <t>3rd Apr</t>
  </si>
  <si>
    <t>Ogunmuyiwa Emmanuel</t>
  </si>
  <si>
    <t>08037901224</t>
  </si>
  <si>
    <t>Akinduro Femi</t>
  </si>
  <si>
    <t>07064990898</t>
  </si>
  <si>
    <t>Olofinyokun Opeyemi</t>
  </si>
  <si>
    <t>08132909913</t>
  </si>
  <si>
    <t>Adebayo Damilola A.</t>
  </si>
  <si>
    <t>08139298593</t>
  </si>
  <si>
    <t>4th Apr</t>
  </si>
  <si>
    <t>Ojodale Stephen S.</t>
  </si>
  <si>
    <t>08060893201</t>
  </si>
  <si>
    <t>7th Apr</t>
  </si>
  <si>
    <t>Falola Oluseye</t>
  </si>
  <si>
    <t>08033356987</t>
  </si>
  <si>
    <t>9th Apr</t>
  </si>
  <si>
    <t>Olonisola Damilola F.</t>
  </si>
  <si>
    <t>08135891947</t>
  </si>
  <si>
    <t>13th Apr</t>
  </si>
  <si>
    <t>Olowookere Omoniyi</t>
  </si>
  <si>
    <t>08039628997</t>
  </si>
  <si>
    <t>14th Apr</t>
  </si>
  <si>
    <t>Olusola Damilola</t>
  </si>
  <si>
    <t>08039678630</t>
  </si>
  <si>
    <t>19th Apr</t>
  </si>
  <si>
    <t xml:space="preserve">Ogundele Subomi </t>
  </si>
  <si>
    <t>08067001867</t>
  </si>
  <si>
    <t>Oladapo Oluwarotimi S.</t>
  </si>
  <si>
    <t>08061529845</t>
  </si>
  <si>
    <t>Osore Oludare</t>
  </si>
  <si>
    <t>08035790908</t>
  </si>
  <si>
    <t>21st Apr</t>
  </si>
  <si>
    <t>Nwaimo Chioma</t>
  </si>
  <si>
    <t>07065949854</t>
  </si>
  <si>
    <t xml:space="preserve">Oloidi Opeyemi </t>
  </si>
  <si>
    <t>07033690482</t>
  </si>
  <si>
    <t>25th Apr</t>
  </si>
  <si>
    <t>Fadahunsi Oluwasegun J.</t>
  </si>
  <si>
    <t>08065847676</t>
  </si>
  <si>
    <t xml:space="preserve">Jeje Olufunmilayo D. </t>
  </si>
  <si>
    <t>08137468819</t>
  </si>
  <si>
    <t>26th Apr</t>
  </si>
  <si>
    <t>Elegbede Olawale J.</t>
  </si>
  <si>
    <t>08060993095</t>
  </si>
  <si>
    <t>27th Apr</t>
  </si>
  <si>
    <t>Adekunle Adebimpe b.</t>
  </si>
  <si>
    <t>07066295209</t>
  </si>
  <si>
    <t>1st May</t>
  </si>
  <si>
    <t>Osowo Oladayo</t>
  </si>
  <si>
    <t>08025301045</t>
  </si>
  <si>
    <t>5th May</t>
  </si>
  <si>
    <t>Ogedengbe Olumide</t>
  </si>
  <si>
    <t>08023995512</t>
  </si>
  <si>
    <t>Ayadi Olusoji Q.</t>
  </si>
  <si>
    <t>Akanbi Victor Olusola</t>
  </si>
  <si>
    <t>07033700970</t>
  </si>
  <si>
    <t>7th May</t>
  </si>
  <si>
    <t>Ajala Oluwatolani</t>
  </si>
  <si>
    <t>08066482439</t>
  </si>
  <si>
    <t>8th May</t>
  </si>
  <si>
    <t>Olatimehin Folukemi</t>
  </si>
  <si>
    <t>08063085709</t>
  </si>
  <si>
    <t>11th May</t>
  </si>
  <si>
    <t>Akerele Olalekan A.</t>
  </si>
  <si>
    <t>08034299975</t>
  </si>
  <si>
    <t>12th May</t>
  </si>
  <si>
    <t>Olaremi Samuel O.</t>
  </si>
  <si>
    <t>08087844236</t>
  </si>
  <si>
    <t>13th May</t>
  </si>
  <si>
    <t>Obajuluwa Olumide</t>
  </si>
  <si>
    <t>08130620576</t>
  </si>
  <si>
    <t>14th May</t>
  </si>
  <si>
    <t>Salawu Michael A.</t>
  </si>
  <si>
    <t>08060124319</t>
  </si>
  <si>
    <t>Akerele Tobi</t>
  </si>
  <si>
    <t>08084364209</t>
  </si>
  <si>
    <t>18th May</t>
  </si>
  <si>
    <t>Apantaku Temitope</t>
  </si>
  <si>
    <t>08162391172</t>
  </si>
  <si>
    <t>21st May</t>
  </si>
  <si>
    <t>Adaramola Gideon</t>
  </si>
  <si>
    <t>07032827407</t>
  </si>
  <si>
    <t>25th May</t>
  </si>
  <si>
    <t>Adeate Banke R.</t>
  </si>
  <si>
    <t>07069569425</t>
  </si>
  <si>
    <t>Lawani Gideon</t>
  </si>
  <si>
    <t>07066132654</t>
  </si>
  <si>
    <t>26th May</t>
  </si>
  <si>
    <t>Asogbon Olumide M.</t>
  </si>
  <si>
    <t>08038381289</t>
  </si>
  <si>
    <t>27th May</t>
  </si>
  <si>
    <t>Elegbede Roland</t>
  </si>
  <si>
    <t>07030294966</t>
  </si>
  <si>
    <t>Babagbemi Oluwabunmi</t>
  </si>
  <si>
    <t>07032473790</t>
  </si>
  <si>
    <t>29th May</t>
  </si>
  <si>
    <t>Erwerhahwe Ejineghene J.</t>
  </si>
  <si>
    <t>08029075359</t>
  </si>
  <si>
    <t>1st Jun</t>
  </si>
  <si>
    <t>Amusa J.O</t>
  </si>
  <si>
    <t>08185708137</t>
  </si>
  <si>
    <t>Oluwajana Morounfoluwa A.</t>
  </si>
  <si>
    <t>4th Jun</t>
  </si>
  <si>
    <t>Philip Ariyo</t>
  </si>
  <si>
    <t>5th Jun</t>
  </si>
  <si>
    <t>Emore Onomo</t>
  </si>
  <si>
    <t>07032642788</t>
  </si>
  <si>
    <t>8th Jun</t>
  </si>
  <si>
    <t>Akindoyin Oluwafemi B.</t>
  </si>
  <si>
    <t>08089940853</t>
  </si>
  <si>
    <t>9th Jun</t>
  </si>
  <si>
    <t>Popoola Yeyunde O.</t>
  </si>
  <si>
    <t>07035658195</t>
  </si>
  <si>
    <t>11th Jun</t>
  </si>
  <si>
    <t>Alebiosu Olumide Gladstone</t>
  </si>
  <si>
    <t>07032716595</t>
  </si>
  <si>
    <t>12th Jun</t>
  </si>
  <si>
    <t>Abaas Alade A.</t>
  </si>
  <si>
    <t>08067643700</t>
  </si>
  <si>
    <t>15th Jun</t>
  </si>
  <si>
    <t xml:space="preserve">Ogunyemi Olasunkanmi P. </t>
  </si>
  <si>
    <t>07030342149</t>
  </si>
  <si>
    <t>18th Jun</t>
  </si>
  <si>
    <t>Adesola Sunday J.</t>
  </si>
  <si>
    <t>07036315450</t>
  </si>
  <si>
    <t>21st Jun</t>
  </si>
  <si>
    <t>Ojo Temitope</t>
  </si>
  <si>
    <t>08060889174</t>
  </si>
  <si>
    <t>24th Jun</t>
  </si>
  <si>
    <t>Olatundun Dayo</t>
  </si>
  <si>
    <t>07062395681</t>
  </si>
  <si>
    <t>26th Jun</t>
  </si>
  <si>
    <t>08067728533</t>
  </si>
  <si>
    <t>28th Jun</t>
  </si>
  <si>
    <t>Ladipo Seun</t>
  </si>
  <si>
    <t>08132363295</t>
  </si>
  <si>
    <t>Abisoye Ayodeji J.</t>
  </si>
  <si>
    <t>07033787268</t>
  </si>
  <si>
    <t>29th Jun</t>
  </si>
  <si>
    <t>Adegunsoye Folasade K.</t>
  </si>
  <si>
    <t>08068496850</t>
  </si>
  <si>
    <t>3rd Jul</t>
  </si>
  <si>
    <t>Bamidele Gbemiga M.</t>
  </si>
  <si>
    <t>07034588702</t>
  </si>
  <si>
    <t>7th Jul</t>
  </si>
  <si>
    <t>Apuabi Oladapo</t>
  </si>
  <si>
    <t>08035319765</t>
  </si>
  <si>
    <t>Ajiboye Oluwaseye K.</t>
  </si>
  <si>
    <t>08060835678</t>
  </si>
  <si>
    <t>9th Jul</t>
  </si>
  <si>
    <t>Adedeji Adeyinka</t>
  </si>
  <si>
    <t>08039266361</t>
  </si>
  <si>
    <t>Apuabi Oluwasina</t>
  </si>
  <si>
    <t>08035319864</t>
  </si>
  <si>
    <t>14th Jul</t>
  </si>
  <si>
    <t>Anthony Kolawole B.</t>
  </si>
  <si>
    <t>07033774981</t>
  </si>
  <si>
    <t>15th Jul</t>
  </si>
  <si>
    <t>Jimoh Adegoke</t>
  </si>
  <si>
    <t>07065949724</t>
  </si>
  <si>
    <t>Jones Feyisike</t>
  </si>
  <si>
    <t>07031397791</t>
  </si>
  <si>
    <t>20th Jul</t>
  </si>
  <si>
    <t>Adamolugbe Funmilayo</t>
  </si>
  <si>
    <t>07036216279</t>
  </si>
  <si>
    <t>21st Jul</t>
  </si>
  <si>
    <t>Ogungbesan Bankole</t>
  </si>
  <si>
    <t>08060815359</t>
  </si>
  <si>
    <t>22nd Jul</t>
  </si>
  <si>
    <t>Ajaraye George O.</t>
  </si>
  <si>
    <t>08067189007</t>
  </si>
  <si>
    <t>23rd Jul</t>
  </si>
  <si>
    <t>Adewumi Oyewole Isaac</t>
  </si>
  <si>
    <t>08063019715</t>
  </si>
  <si>
    <t>25th Jul</t>
  </si>
  <si>
    <t>Ogundare Oluwatoyin A.</t>
  </si>
  <si>
    <t>07057807052</t>
  </si>
  <si>
    <t>28th Jul</t>
  </si>
  <si>
    <t>Kadiri Oluwasegun O.</t>
  </si>
  <si>
    <t>07082176400</t>
  </si>
  <si>
    <t>1st Aug</t>
  </si>
  <si>
    <t>Iraoya Ausitine</t>
  </si>
  <si>
    <t>08060831308</t>
  </si>
  <si>
    <t>2nd Aug</t>
  </si>
  <si>
    <t>Nojeem Idris A.</t>
  </si>
  <si>
    <t>08051122280</t>
  </si>
  <si>
    <t>Adeebowale Muyiwa</t>
  </si>
  <si>
    <t>07030480818</t>
  </si>
  <si>
    <t>8th Aug</t>
  </si>
  <si>
    <t>Egbon Osafu Augustine</t>
  </si>
  <si>
    <t>07038976018</t>
  </si>
  <si>
    <t>11th Aug</t>
  </si>
  <si>
    <t>Adeagbo Gbenga A.</t>
  </si>
  <si>
    <t>07033659066</t>
  </si>
  <si>
    <t>12th Aug</t>
  </si>
  <si>
    <t>Akinpelu Emmanuel</t>
  </si>
  <si>
    <t>08036165652</t>
  </si>
  <si>
    <t>16th Aug</t>
  </si>
  <si>
    <t>Adebayo Babatunde I.</t>
  </si>
  <si>
    <t>08071599555</t>
  </si>
  <si>
    <t>18th Aug</t>
  </si>
  <si>
    <t>Akinmade Osayemi</t>
  </si>
  <si>
    <t>08130567579</t>
  </si>
  <si>
    <t>19th Aug</t>
  </si>
  <si>
    <t>Aborisade Lawrence</t>
  </si>
  <si>
    <t>08168275435</t>
  </si>
  <si>
    <t>Oloniyo Seun</t>
  </si>
  <si>
    <t>08132129140</t>
  </si>
  <si>
    <t>25th Aug</t>
  </si>
  <si>
    <t>Fadele Opeoluwa E.</t>
  </si>
  <si>
    <t>08068853574</t>
  </si>
  <si>
    <t>30th Aug</t>
  </si>
  <si>
    <t>Ejimonye Paulyn K.</t>
  </si>
  <si>
    <t>08030509254</t>
  </si>
  <si>
    <t>4th Sep</t>
  </si>
  <si>
    <t>Ayoola Adeola O.</t>
  </si>
  <si>
    <t>07031175344</t>
  </si>
  <si>
    <t>9th Sep</t>
  </si>
  <si>
    <t>Julius Dare Isreal</t>
  </si>
  <si>
    <t>08060972906</t>
  </si>
  <si>
    <t>Yusuf Olawale</t>
  </si>
  <si>
    <t>08037480374</t>
  </si>
  <si>
    <t>12th Sep</t>
  </si>
  <si>
    <t>Odion Ayo-Oluwa</t>
  </si>
  <si>
    <t>08038278284</t>
  </si>
  <si>
    <t>15th Sep</t>
  </si>
  <si>
    <t>Akinyoade Akinpelu J.</t>
  </si>
  <si>
    <t>08138366622</t>
  </si>
  <si>
    <t>17th Sep</t>
  </si>
  <si>
    <t>Osanyemi Mosimiloluwa</t>
  </si>
  <si>
    <t>08064956825</t>
  </si>
  <si>
    <t>19th Sep</t>
  </si>
  <si>
    <t>Ademodi Omowunmi</t>
  </si>
  <si>
    <t>07068417638</t>
  </si>
  <si>
    <t>24th Sep</t>
  </si>
  <si>
    <t>Anyasodor Hayes K.</t>
  </si>
  <si>
    <t>07033740235</t>
  </si>
  <si>
    <t>25th Sep</t>
  </si>
  <si>
    <t>Iluyemi Victor</t>
  </si>
  <si>
    <t>07060540338</t>
  </si>
  <si>
    <t>30th Sep</t>
  </si>
  <si>
    <t>Akinsulu Samuel A</t>
  </si>
  <si>
    <t>07032270741</t>
  </si>
  <si>
    <t>1st Oct</t>
  </si>
  <si>
    <t>Alli Modupe</t>
  </si>
  <si>
    <t>08026013252</t>
  </si>
  <si>
    <t>4th Oct</t>
  </si>
  <si>
    <t>Ojo Oluwadare</t>
  </si>
  <si>
    <t>07064990884</t>
  </si>
  <si>
    <t>Osunmo Kolawole G.</t>
  </si>
  <si>
    <t>08063091175</t>
  </si>
  <si>
    <t>8th Oct</t>
  </si>
  <si>
    <t>Adekanbi Abayomi</t>
  </si>
  <si>
    <t>07062320423</t>
  </si>
  <si>
    <t>10th Oct</t>
  </si>
  <si>
    <t>Fadamoro Joy</t>
  </si>
  <si>
    <t>07062045167</t>
  </si>
  <si>
    <t>11th Oct</t>
  </si>
  <si>
    <t>Oluwatosin Oluwake D.</t>
  </si>
  <si>
    <t>08137780205</t>
  </si>
  <si>
    <t>13th Oct</t>
  </si>
  <si>
    <t>Ogidan Ebenezer</t>
  </si>
  <si>
    <t>08038036363</t>
  </si>
  <si>
    <t>17th Oct</t>
  </si>
  <si>
    <t>Akinwande Toluwani S.</t>
  </si>
  <si>
    <t>07030424829</t>
  </si>
  <si>
    <t>20th Oct</t>
  </si>
  <si>
    <t>Ajani Olabisi Kikelomo</t>
  </si>
  <si>
    <t>08060360489</t>
  </si>
  <si>
    <t>23rd Oct</t>
  </si>
  <si>
    <t>Fapohunda Kofo</t>
  </si>
  <si>
    <t>07039480981</t>
  </si>
  <si>
    <t>Babatunde Olajide</t>
  </si>
  <si>
    <t>08033801622</t>
  </si>
  <si>
    <t>25th Oct</t>
  </si>
  <si>
    <t>Oyinlola Oluwafemi</t>
  </si>
  <si>
    <t>08161111123</t>
  </si>
  <si>
    <t>27th Oct</t>
  </si>
  <si>
    <t>Omotayo Oluwatobi</t>
  </si>
  <si>
    <t>07031699912</t>
  </si>
  <si>
    <t>Oke Babatunde</t>
  </si>
  <si>
    <t>08037700049</t>
  </si>
  <si>
    <t>28th Oct</t>
  </si>
  <si>
    <t>Akinbisose Akinwunmi O.</t>
  </si>
  <si>
    <t>08165664565</t>
  </si>
  <si>
    <t>29th Oct</t>
  </si>
  <si>
    <t>Ekanoye Dayo</t>
  </si>
  <si>
    <t>08037529341</t>
  </si>
  <si>
    <t>30th Oct</t>
  </si>
  <si>
    <t>Iriburum Joam Aboghene</t>
  </si>
  <si>
    <t>07035762979</t>
  </si>
  <si>
    <t>3rd Nov</t>
  </si>
  <si>
    <t>Oyedotun Femi</t>
  </si>
  <si>
    <t>08068205863</t>
  </si>
  <si>
    <t>5th Nov</t>
  </si>
  <si>
    <t>Obabueki Osarume F.</t>
  </si>
  <si>
    <t>07066033222</t>
  </si>
  <si>
    <t>7th Nov</t>
  </si>
  <si>
    <t>Doyin-Dada .A. Layo</t>
  </si>
  <si>
    <t>07037626785</t>
  </si>
  <si>
    <t>9th Nov</t>
  </si>
  <si>
    <t>Akinloye Omotayo</t>
  </si>
  <si>
    <t>08063093583</t>
  </si>
  <si>
    <t>10th Nov</t>
  </si>
  <si>
    <t>Akinyemi Sola S.</t>
  </si>
  <si>
    <t>08057260931</t>
  </si>
  <si>
    <t>11th Nov</t>
  </si>
  <si>
    <t>Adekunle Tolulope Abigail</t>
  </si>
  <si>
    <t>07033875074</t>
  </si>
  <si>
    <t>12th Nov</t>
  </si>
  <si>
    <t>Ajewole Timothy</t>
  </si>
  <si>
    <t>08035068331</t>
  </si>
  <si>
    <t>17th Nov</t>
  </si>
  <si>
    <t>Olaniyan Victor O.</t>
  </si>
  <si>
    <t>08060336753</t>
  </si>
  <si>
    <t>19th Nov</t>
  </si>
  <si>
    <t>Mulero Opeyemi Abraham</t>
  </si>
  <si>
    <t>08066010408</t>
  </si>
  <si>
    <t>20th Nov</t>
  </si>
  <si>
    <t>Macauly Paul</t>
  </si>
  <si>
    <t>07036555717</t>
  </si>
  <si>
    <t>21st Nov</t>
  </si>
  <si>
    <t>Omoniyi Oluwatobi</t>
  </si>
  <si>
    <t>07034314307</t>
  </si>
  <si>
    <t>24th Nov</t>
  </si>
  <si>
    <t>Oke Tosin</t>
  </si>
  <si>
    <t>07035437521</t>
  </si>
  <si>
    <t>26th Nov</t>
  </si>
  <si>
    <t>Adeoye Fadeke</t>
  </si>
  <si>
    <t>08074674079</t>
  </si>
  <si>
    <t>Adekunle Temitope S.</t>
  </si>
  <si>
    <t>08138268032</t>
  </si>
  <si>
    <t>27th Nov</t>
  </si>
  <si>
    <t>Bobade Toyin</t>
  </si>
  <si>
    <t>07061103580</t>
  </si>
  <si>
    <t>28th Nov</t>
  </si>
  <si>
    <t>Agoola Arije</t>
  </si>
  <si>
    <t>07064337124</t>
  </si>
  <si>
    <t>29th Nov</t>
  </si>
  <si>
    <t>Akinbode Sanmi</t>
  </si>
  <si>
    <t>08067619805</t>
  </si>
  <si>
    <t>5th Dec</t>
  </si>
  <si>
    <t>Ajayi Paul</t>
  </si>
  <si>
    <t>07032407256</t>
  </si>
  <si>
    <t>12th Dec</t>
  </si>
  <si>
    <t>Konigbagbe Ayotunde</t>
  </si>
  <si>
    <t>07069569044</t>
  </si>
  <si>
    <t>14th Dec</t>
  </si>
  <si>
    <t>Popoola Taiwo O.</t>
  </si>
  <si>
    <t>07064303803</t>
  </si>
  <si>
    <t>18TH Dec</t>
  </si>
  <si>
    <t>Farayola Kanyinsola</t>
  </si>
  <si>
    <t>08132129169</t>
  </si>
  <si>
    <t>19th Dec</t>
  </si>
  <si>
    <t>Adara Mojisola</t>
  </si>
  <si>
    <t>08130567503</t>
  </si>
  <si>
    <t>Akeresola Abiodun</t>
  </si>
  <si>
    <t>07038065476</t>
  </si>
  <si>
    <t>24th Dec</t>
  </si>
  <si>
    <t>Isiaka Tinuke</t>
  </si>
  <si>
    <t>08138493443</t>
  </si>
  <si>
    <t>Olalekan Labode A.</t>
  </si>
  <si>
    <t>07029637516</t>
  </si>
  <si>
    <t>27th Dec</t>
  </si>
  <si>
    <t>Oladepo Ireti Isaac</t>
  </si>
  <si>
    <t>07036323633</t>
  </si>
  <si>
    <t>Elusoji Samuel O.</t>
  </si>
  <si>
    <t>08068773905</t>
  </si>
  <si>
    <t>Ojo Adedayo</t>
  </si>
  <si>
    <t>08038142774</t>
  </si>
  <si>
    <t>27TH Dec</t>
  </si>
  <si>
    <t>Rotimi Ifedayo Nelson</t>
  </si>
  <si>
    <t>08063806325</t>
  </si>
  <si>
    <t>Matthew Tope David</t>
  </si>
  <si>
    <t>08137271767</t>
  </si>
  <si>
    <t>Oruku Sunday</t>
  </si>
  <si>
    <t>Egbokhare O. James</t>
  </si>
  <si>
    <t>08034151214</t>
  </si>
  <si>
    <t>Oke Olatunji A.</t>
  </si>
  <si>
    <t>08084679999</t>
  </si>
  <si>
    <t>Oki Overcomer</t>
  </si>
  <si>
    <t>07068404945</t>
  </si>
  <si>
    <t>Otagbo Evelyn</t>
  </si>
  <si>
    <t>08036921473</t>
  </si>
  <si>
    <t>Ojo Donald</t>
  </si>
  <si>
    <t>08022552152</t>
  </si>
  <si>
    <r>
      <t>1</t>
    </r>
    <r>
      <rPr>
        <b/>
        <vertAlign val="superscript"/>
        <sz val="10"/>
        <rFont val="Calibri"/>
      </rPr>
      <t>ST</t>
    </r>
    <r>
      <rPr>
        <b/>
        <sz val="10"/>
        <rFont val="Calibri"/>
      </rPr>
      <t xml:space="preserve"> JAN</t>
    </r>
  </si>
  <si>
    <r>
      <t>21</t>
    </r>
    <r>
      <rPr>
        <b/>
        <vertAlign val="superscript"/>
        <sz val="10"/>
        <rFont val="Calibri"/>
      </rPr>
      <t>ST</t>
    </r>
    <r>
      <rPr>
        <b/>
        <sz val="10"/>
        <rFont val="Calibri"/>
      </rPr>
      <t xml:space="preserve"> JAN</t>
    </r>
  </si>
  <si>
    <t>AKINTE DAMILOLA</t>
  </si>
  <si>
    <r>
      <t>9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FEB</t>
    </r>
  </si>
  <si>
    <t>The shining light generation 2017/2018</t>
  </si>
  <si>
    <r>
      <t xml:space="preserve">REDEEMER’S ARMY FAMILY </t>
    </r>
    <r>
      <rPr>
        <b/>
        <sz val="28"/>
        <rFont val="Copperplate Gothic Bold"/>
      </rPr>
      <t xml:space="preserve"> </t>
    </r>
  </si>
  <si>
    <t>NO.</t>
  </si>
  <si>
    <t>PHONE NUMBER</t>
  </si>
  <si>
    <t>DATE OF BIRTH</t>
  </si>
  <si>
    <t>AWE DEBBIE</t>
  </si>
  <si>
    <t>IJAGBEMI OLUWADUNSIN</t>
  </si>
  <si>
    <t>OWOYEMI MODUPE</t>
  </si>
  <si>
    <r>
      <t>14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MAR</t>
    </r>
  </si>
  <si>
    <t>OLATUNBOSUN KEMI</t>
  </si>
  <si>
    <r>
      <t>18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MAR</t>
    </r>
  </si>
  <si>
    <t>ADENUGBA MICHEAL</t>
  </si>
  <si>
    <r>
      <t>3</t>
    </r>
    <r>
      <rPr>
        <b/>
        <vertAlign val="superscript"/>
        <sz val="10"/>
        <rFont val="Calibri"/>
      </rPr>
      <t>RD</t>
    </r>
    <r>
      <rPr>
        <b/>
        <sz val="10"/>
        <rFont val="Calibri"/>
      </rPr>
      <t xml:space="preserve"> APR</t>
    </r>
  </si>
  <si>
    <t>LAMIDI ADETOLA</t>
  </si>
  <si>
    <r>
      <t>28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MAY</t>
    </r>
  </si>
  <si>
    <t>AYANWALE SAMUEL</t>
  </si>
  <si>
    <r>
      <t>24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JUNE</t>
    </r>
  </si>
  <si>
    <t>OYENIRAN MARY</t>
  </si>
  <si>
    <r>
      <t>2</t>
    </r>
    <r>
      <rPr>
        <b/>
        <vertAlign val="superscript"/>
        <sz val="10"/>
        <rFont val="Calibri"/>
      </rPr>
      <t>ND</t>
    </r>
    <r>
      <rPr>
        <b/>
        <sz val="10"/>
        <rFont val="Calibri"/>
      </rPr>
      <t xml:space="preserve"> AUG</t>
    </r>
  </si>
  <si>
    <t>KOKO ADEYINKA</t>
  </si>
  <si>
    <r>
      <t>3</t>
    </r>
    <r>
      <rPr>
        <b/>
        <vertAlign val="superscript"/>
        <sz val="10"/>
        <rFont val="Calibri"/>
      </rPr>
      <t>RD</t>
    </r>
    <r>
      <rPr>
        <b/>
        <sz val="10"/>
        <rFont val="Calibri"/>
      </rPr>
      <t xml:space="preserve"> AUG</t>
    </r>
  </si>
  <si>
    <t>OGUNMAKIN TOBILOBA</t>
  </si>
  <si>
    <r>
      <t>23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</si>
  <si>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t>ARANSIOLA PEACE</t>
  </si>
  <si>
    <r>
      <t>12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</si>
  <si>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t>ABORISADE ANU</t>
  </si>
  <si>
    <r>
      <t>9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SEPT</t>
    </r>
  </si>
  <si>
    <t>AJISAFE TOBI</t>
  </si>
  <si>
    <r>
      <t>17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OCT</t>
    </r>
  </si>
  <si>
    <t>DARAMOLA ADEOLA</t>
  </si>
  <si>
    <r>
      <t>30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OCT</t>
    </r>
  </si>
  <si>
    <t>ARIYO SEUN</t>
  </si>
  <si>
    <t xml:space="preserve">FEMALE </t>
  </si>
  <si>
    <r>
      <t>22</t>
    </r>
    <r>
      <rPr>
        <b/>
        <vertAlign val="superscript"/>
        <sz val="10"/>
        <rFont val="Calibri"/>
      </rPr>
      <t>ND</t>
    </r>
    <r>
      <rPr>
        <b/>
        <sz val="10"/>
        <rFont val="Calibri"/>
      </rPr>
      <t xml:space="preserve"> NOV</t>
    </r>
  </si>
  <si>
    <t>UHAKHEME PRECIOUS</t>
  </si>
  <si>
    <r>
      <t>28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NOV</t>
    </r>
  </si>
  <si>
    <t>ADEBAYO SOLA</t>
  </si>
  <si>
    <t>IKHAZOBOR SOLOMON</t>
  </si>
  <si>
    <t>ONI GBOHUNMI</t>
  </si>
  <si>
    <t>ADEDEJI KAYODE</t>
  </si>
  <si>
    <t>OYEDEJI GIFT</t>
  </si>
  <si>
    <t>ALABI BUNMI</t>
  </si>
  <si>
    <t>AJAO IFE</t>
  </si>
  <si>
    <t>MEBUDE SAMUEL</t>
  </si>
  <si>
    <t>UJATTAH MONDY</t>
  </si>
  <si>
    <t>OMOYA OLUWASOLA</t>
  </si>
  <si>
    <t>AYODELE OPEYEMI</t>
  </si>
  <si>
    <t>ADEDIJI ABISOLUWA</t>
  </si>
  <si>
    <t>OWOEYE SAMUEL</t>
  </si>
  <si>
    <t>OYINLOYE OLUWASEUN</t>
  </si>
  <si>
    <t>ADEOTI ISRAEL</t>
  </si>
  <si>
    <t>CHIDIEBERE PRECIOUS</t>
  </si>
  <si>
    <t>ABIOLA KEHINDE</t>
  </si>
  <si>
    <t>IGBALAJOBI MICHAEL</t>
  </si>
  <si>
    <t>OYEBAMIJI SAMUEL</t>
  </si>
  <si>
    <t>ODESANMI KEHINDE</t>
  </si>
  <si>
    <t>OLUWAROTIMI WILLIAMS</t>
  </si>
  <si>
    <t>OKOYE COLLINS</t>
  </si>
  <si>
    <t>JULIUS JOSEPH</t>
  </si>
  <si>
    <t>ADEKUNLE TAIWO</t>
  </si>
  <si>
    <t>OGUNSOLA JEDIDIAH</t>
  </si>
  <si>
    <t>OLUDAMIRO EMMANUEL</t>
  </si>
  <si>
    <t>OGUNDIRAN MICHAEL</t>
  </si>
  <si>
    <t>EWUOLA OLUSHONAOLA</t>
  </si>
  <si>
    <t>BABALOLA IFEOLUWAPO</t>
  </si>
  <si>
    <t>OJO OLUWATOYOSI</t>
  </si>
  <si>
    <t xml:space="preserve">ODENIYI MOSES </t>
  </si>
  <si>
    <t xml:space="preserve">OLORUNFEMI JOHN </t>
  </si>
  <si>
    <t>OJASANYA KELVIN</t>
  </si>
  <si>
    <t>AKINWUMI OLAKUNLE</t>
  </si>
  <si>
    <t>AWOYEMI OLANREWAJU</t>
  </si>
  <si>
    <t>OLUDARE DOLAMU</t>
  </si>
  <si>
    <t>YUSUF BENJAMIN</t>
  </si>
  <si>
    <t>AROBOTO</t>
  </si>
  <si>
    <t>OLAIGBE JOSHUA</t>
  </si>
  <si>
    <t>EMEKPO ZEAL</t>
  </si>
  <si>
    <t>NZOMIWU COLLINS</t>
  </si>
  <si>
    <t>OLORUNGBEMI ELIJAH</t>
  </si>
  <si>
    <t>AIGBOJARE LUCKY</t>
  </si>
  <si>
    <t>ADEMOLA AYOBAMI</t>
  </si>
  <si>
    <t>ADERINWALE A</t>
  </si>
  <si>
    <t>OBAMEHINTI S</t>
  </si>
  <si>
    <t>OKEOWO DARE PETER</t>
  </si>
  <si>
    <t>OLABIYI EMMANUEL</t>
  </si>
  <si>
    <t>OLURINDE GBENGA</t>
  </si>
  <si>
    <t>ADEGBOYE ADESOLA</t>
  </si>
  <si>
    <t>AJAYI RICHARD</t>
  </si>
  <si>
    <t xml:space="preserve">MALE </t>
  </si>
  <si>
    <r>
      <t>13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MAR</t>
    </r>
  </si>
  <si>
    <r>
      <t>1</t>
    </r>
    <r>
      <rPr>
        <b/>
        <vertAlign val="superscript"/>
        <sz val="10"/>
        <rFont val="Calibri"/>
      </rPr>
      <t>ST</t>
    </r>
    <r>
      <rPr>
        <b/>
        <sz val="10"/>
        <rFont val="Calibri"/>
      </rPr>
      <t xml:space="preserve"> APR</t>
    </r>
  </si>
  <si>
    <r>
      <t>30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APR</t>
    </r>
  </si>
  <si>
    <r>
      <t>2</t>
    </r>
    <r>
      <rPr>
        <b/>
        <vertAlign val="superscript"/>
        <sz val="10"/>
        <rFont val="Calibri"/>
      </rPr>
      <t>ND</t>
    </r>
    <r>
      <rPr>
        <b/>
        <sz val="10"/>
        <rFont val="Calibri"/>
      </rPr>
      <t xml:space="preserve"> MAY</t>
    </r>
  </si>
  <si>
    <r>
      <t>3</t>
    </r>
    <r>
      <rPr>
        <b/>
        <vertAlign val="superscript"/>
        <sz val="10"/>
        <rFont val="Calibri"/>
      </rPr>
      <t>RD</t>
    </r>
    <r>
      <rPr>
        <b/>
        <sz val="10"/>
        <rFont val="Calibri"/>
      </rPr>
      <t xml:space="preserve"> MAY</t>
    </r>
  </si>
  <si>
    <r>
      <t>4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MAY</t>
    </r>
  </si>
  <si>
    <r>
      <t>14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MAY</t>
    </r>
  </si>
  <si>
    <r>
      <t>21</t>
    </r>
    <r>
      <rPr>
        <b/>
        <vertAlign val="superscript"/>
        <sz val="10"/>
        <rFont val="Calibri"/>
      </rPr>
      <t>ST</t>
    </r>
    <r>
      <rPr>
        <b/>
        <sz val="10"/>
        <rFont val="Calibri"/>
      </rPr>
      <t xml:space="preserve"> MAY</t>
    </r>
  </si>
  <si>
    <r>
      <t>22</t>
    </r>
    <r>
      <rPr>
        <b/>
        <vertAlign val="superscript"/>
        <sz val="10"/>
        <rFont val="Calibri"/>
      </rPr>
      <t>ND</t>
    </r>
    <r>
      <rPr>
        <b/>
        <sz val="10"/>
        <rFont val="Calibri"/>
      </rPr>
      <t xml:space="preserve"> MAY</t>
    </r>
  </si>
  <si>
    <r>
      <t>20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JUNE</t>
    </r>
  </si>
  <si>
    <r>
      <t>26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JUNE</t>
    </r>
  </si>
  <si>
    <r>
      <t>30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JUNE</t>
    </r>
  </si>
  <si>
    <r>
      <t>10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JULY</t>
    </r>
  </si>
  <si>
    <r>
      <t>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</si>
  <si>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r>
      <t>14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</si>
  <si>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r>
      <t>23</t>
    </r>
    <r>
      <rPr>
        <b/>
        <vertAlign val="superscript"/>
        <sz val="10"/>
        <rFont val="Calibri"/>
      </rPr>
      <t>RD</t>
    </r>
    <r>
      <rPr>
        <b/>
        <sz val="10"/>
        <rFont val="Calibri"/>
      </rPr>
      <t xml:space="preserve"> AUG</t>
    </r>
  </si>
  <si>
    <r>
      <t>5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SEPT</t>
    </r>
  </si>
  <si>
    <r>
      <t>27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SEPT</t>
    </r>
  </si>
  <si>
    <r>
      <t>13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OCT</t>
    </r>
  </si>
  <si>
    <r>
      <t>18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NOV</t>
    </r>
  </si>
  <si>
    <r>
      <t>26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NOV</t>
    </r>
  </si>
  <si>
    <r>
      <t>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DEC</t>
    </r>
  </si>
  <si>
    <t>ONU AMOS</t>
  </si>
  <si>
    <t>OLOWE IYANULOLUWA</t>
  </si>
  <si>
    <t>AKINGBESOTE OMOTAYO</t>
  </si>
  <si>
    <t>ABODUNRIN AMOS</t>
  </si>
  <si>
    <t>YUSUF  ABIODUN</t>
  </si>
  <si>
    <t>AJAYI BOLUWATIFE</t>
  </si>
  <si>
    <t>TANIMOWO ADETOMIWA</t>
  </si>
  <si>
    <t>BADA ADEBAYO</t>
  </si>
  <si>
    <t>OGUNLEYE TOPE O</t>
  </si>
  <si>
    <t>OSODE VICTOR</t>
  </si>
  <si>
    <t>FALUSI ADEWOLE</t>
  </si>
  <si>
    <t>ADISA TEMITOPE</t>
  </si>
  <si>
    <t>08161121 956</t>
  </si>
  <si>
    <t>FUTA</t>
  </si>
  <si>
    <r>
      <t>24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JAN</t>
    </r>
  </si>
  <si>
    <r>
      <t>26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JAN</t>
    </r>
  </si>
  <si>
    <r>
      <t>25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</si>
  <si>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r>
      <t>31</t>
    </r>
    <r>
      <rPr>
        <b/>
        <vertAlign val="superscript"/>
        <sz val="10"/>
        <rFont val="Calibri"/>
      </rPr>
      <t>ST</t>
    </r>
    <r>
      <rPr>
        <b/>
        <sz val="10"/>
        <rFont val="Calibri"/>
      </rPr>
      <t xml:space="preserve"> AUG</t>
    </r>
  </si>
  <si>
    <r>
      <t>23</t>
    </r>
    <r>
      <rPr>
        <b/>
        <vertAlign val="superscript"/>
        <sz val="10"/>
        <rFont val="Calibri"/>
      </rPr>
      <t>RD</t>
    </r>
    <r>
      <rPr>
        <b/>
        <sz val="10"/>
        <rFont val="Calibri"/>
      </rPr>
      <t xml:space="preserve"> DEC</t>
    </r>
  </si>
  <si>
    <t xml:space="preserve"> JUNE 26</t>
  </si>
  <si>
    <t>OYEBUKOLA FLORENCE</t>
  </si>
  <si>
    <t>EKHAFE ANDREW</t>
  </si>
  <si>
    <t>AKINPELUMI TOLU</t>
  </si>
  <si>
    <t>OLENBA PECULIAR</t>
  </si>
  <si>
    <t>SALAMI ADENIYI</t>
  </si>
  <si>
    <t>ADAEZE MERCY</t>
  </si>
  <si>
    <t>LAOYE GIDEON</t>
  </si>
  <si>
    <t>OMOTORIOGUN OLUMIDE</t>
  </si>
  <si>
    <t>ADEBIYI BOLUTITO</t>
  </si>
  <si>
    <t>FADOJU OLUWASEYI</t>
  </si>
  <si>
    <t>KOLAWOLE AYOBAMI</t>
  </si>
  <si>
    <t>ADELEKE ADEMOLA</t>
  </si>
  <si>
    <t>ADELUGBA AYOMIDE</t>
  </si>
  <si>
    <t>FOLARIN ONADELE</t>
  </si>
  <si>
    <t>OLOWERE KEHINDE</t>
  </si>
  <si>
    <t>ODEJAYI ENOCH</t>
  </si>
  <si>
    <t>ADEDEJI VICTOR</t>
  </si>
  <si>
    <t>OLABOYE OLUWASEUN</t>
  </si>
  <si>
    <t>ADEWOLE OLUDARE</t>
  </si>
  <si>
    <t>OGUNSANYA OLAMIDE</t>
  </si>
  <si>
    <t>OYENIYI KAYODE</t>
  </si>
  <si>
    <t>DANIEL ANTHONY</t>
  </si>
  <si>
    <t>OWOLABI EMMANUEL</t>
  </si>
  <si>
    <t>OGUNWALE TEMITAYO</t>
  </si>
  <si>
    <t>AMODU EMMANUEL</t>
  </si>
  <si>
    <t>ADEJOLU TEMITOPE</t>
  </si>
  <si>
    <t>EMMANUEL OLUWASEUN</t>
  </si>
  <si>
    <t>ADEOYE ANTHONY</t>
  </si>
  <si>
    <t>OBAJIMI TOLULOPE</t>
  </si>
  <si>
    <t>OLOPADE TEMITOPE</t>
  </si>
  <si>
    <t>OLANIYI PAUL</t>
  </si>
  <si>
    <t>OLORUNLOGBON BIBIRE</t>
  </si>
  <si>
    <t>OYEKAN TOLULOPE</t>
  </si>
  <si>
    <t>ADEDAYO AYODEJI</t>
  </si>
  <si>
    <t>OLADAPO MAYOWA</t>
  </si>
  <si>
    <t>ADETOLA DOTUN</t>
  </si>
  <si>
    <t>OGUNTUASE GBEMIGA</t>
  </si>
  <si>
    <t>ADETOYE FAITH</t>
  </si>
  <si>
    <t>LAWAL JAMES</t>
  </si>
  <si>
    <t>AKINYEMI ABIODUN</t>
  </si>
  <si>
    <t>ADEGBAJU GABRIEL</t>
  </si>
  <si>
    <t>FASUYI FEMI</t>
  </si>
  <si>
    <t>OKEOWO OLAJIDE</t>
  </si>
  <si>
    <r>
      <t>5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JAN</t>
    </r>
  </si>
  <si>
    <r>
      <t>31</t>
    </r>
    <r>
      <rPr>
        <b/>
        <vertAlign val="superscript"/>
        <sz val="10"/>
        <rFont val="Calibri"/>
      </rPr>
      <t>ST</t>
    </r>
    <r>
      <rPr>
        <b/>
        <sz val="10"/>
        <rFont val="Calibri"/>
      </rPr>
      <t xml:space="preserve"> JAN</t>
    </r>
  </si>
  <si>
    <r>
      <t>2</t>
    </r>
    <r>
      <rPr>
        <b/>
        <vertAlign val="superscript"/>
        <sz val="10"/>
        <rFont val="Calibri"/>
      </rPr>
      <t>ND</t>
    </r>
    <r>
      <rPr>
        <b/>
        <sz val="10"/>
        <rFont val="Calibri"/>
      </rPr>
      <t xml:space="preserve"> FEB</t>
    </r>
  </si>
  <si>
    <r>
      <t>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FEB</t>
    </r>
  </si>
  <si>
    <r>
      <t>4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APR</t>
    </r>
  </si>
  <si>
    <r>
      <t>9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APR</t>
    </r>
  </si>
  <si>
    <r>
      <t>28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APR</t>
    </r>
  </si>
  <si>
    <r>
      <t>7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MAY</t>
    </r>
  </si>
  <si>
    <r>
      <t>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JUNE</t>
    </r>
  </si>
  <si>
    <r>
      <t>11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JUNE</t>
    </r>
  </si>
  <si>
    <r>
      <t xml:space="preserve"> 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JULY</t>
    </r>
  </si>
  <si>
    <r>
      <t>16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JULY</t>
    </r>
  </si>
  <si>
    <r>
      <t>24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JULY</t>
    </r>
  </si>
  <si>
    <r>
      <t>7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</si>
  <si>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r>
      <t>16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</si>
  <si>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r>
      <t>27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</si>
  <si>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r>
      <t>16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SEPT</t>
    </r>
  </si>
  <si>
    <r>
      <t>25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SEPT</t>
    </r>
  </si>
  <si>
    <r>
      <t>28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SEPT</t>
    </r>
  </si>
  <si>
    <r>
      <t>30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SEPT</t>
    </r>
  </si>
  <si>
    <r>
      <t>23</t>
    </r>
    <r>
      <rPr>
        <b/>
        <vertAlign val="superscript"/>
        <sz val="10"/>
        <rFont val="Calibri"/>
      </rPr>
      <t>RD</t>
    </r>
    <r>
      <rPr>
        <b/>
        <sz val="10"/>
        <rFont val="Calibri"/>
      </rPr>
      <t xml:space="preserve"> OCT</t>
    </r>
  </si>
  <si>
    <r>
      <t>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NOV</t>
    </r>
  </si>
  <si>
    <r>
      <t>12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NOV</t>
    </r>
  </si>
  <si>
    <r>
      <t>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DEC</t>
    </r>
  </si>
  <si>
    <r>
      <t>19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DEC</t>
    </r>
  </si>
  <si>
    <r>
      <t>24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DEC</t>
    </r>
  </si>
  <si>
    <t>FAGBEMI ABIODUN</t>
  </si>
  <si>
    <t>FAYOSE TEMITOPE</t>
  </si>
  <si>
    <t>OGUNSOLA OLUWAYEMI</t>
  </si>
  <si>
    <t>OGUNYEMI AYODEJI</t>
  </si>
  <si>
    <t>POPOOLA PAUL</t>
  </si>
  <si>
    <t>TENIOLA AYOKUNLE</t>
  </si>
  <si>
    <t>BABATUNDE JOSEPH</t>
  </si>
  <si>
    <t>AKINSUYI OLAYEMI</t>
  </si>
  <si>
    <t>ODEDE EMMANUEL</t>
  </si>
  <si>
    <t>ALASONIYI SAMUEL</t>
  </si>
  <si>
    <r>
      <t>3</t>
    </r>
    <r>
      <rPr>
        <b/>
        <vertAlign val="superscript"/>
        <sz val="10"/>
        <rFont val="Calibri"/>
      </rPr>
      <t>RD</t>
    </r>
    <r>
      <rPr>
        <b/>
        <sz val="10"/>
        <rFont val="Calibri"/>
      </rPr>
      <t xml:space="preserve"> JAN</t>
    </r>
  </si>
  <si>
    <r>
      <t>10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APR</t>
    </r>
  </si>
  <si>
    <r>
      <t>26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APR</t>
    </r>
  </si>
  <si>
    <r>
      <t>10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JUNE</t>
    </r>
  </si>
  <si>
    <r>
      <t>12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JUNE</t>
    </r>
  </si>
  <si>
    <r>
      <t>19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JULY</t>
    </r>
  </si>
  <si>
    <r>
      <t>13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SEPT</t>
    </r>
  </si>
  <si>
    <r>
      <t>13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NOV</t>
    </r>
  </si>
  <si>
    <r>
      <t>2</t>
    </r>
    <r>
      <rPr>
        <b/>
        <vertAlign val="superscript"/>
        <sz val="10"/>
        <rFont val="Calibri"/>
      </rPr>
      <t>ND</t>
    </r>
    <r>
      <rPr>
        <b/>
        <sz val="10"/>
        <rFont val="Calibri"/>
      </rPr>
      <t xml:space="preserve"> DEC</t>
    </r>
  </si>
  <si>
    <t>ADEYEMI TOKUNBO</t>
  </si>
  <si>
    <t>MAJOLAGBE LANRE</t>
  </si>
  <si>
    <t>OMOWAYE DAMILOLA</t>
  </si>
  <si>
    <t>DICKSON UCHE</t>
  </si>
  <si>
    <t>CHUKWUDI JEFFREY</t>
  </si>
  <si>
    <t>ODUNLADE SEGUN</t>
  </si>
  <si>
    <t>ADEYEMO ADEWALE</t>
  </si>
  <si>
    <t>ADEYANJU OJO</t>
  </si>
  <si>
    <t>ADELEKUN BLESSING</t>
  </si>
  <si>
    <t>AYEGBEMOH DANIEL</t>
  </si>
  <si>
    <t>ASHIRU RUTH</t>
  </si>
  <si>
    <t>AKINWALE IBUKUN</t>
  </si>
  <si>
    <t>OLOPADE AYOMIDE</t>
  </si>
  <si>
    <t xml:space="preserve">OLASANMI BISOLA </t>
  </si>
  <si>
    <t>OLADIRAN MATTHEW</t>
  </si>
  <si>
    <t>GHARORO PUREHEART</t>
  </si>
  <si>
    <t>AKINSOLA OLAMIDE</t>
  </si>
  <si>
    <t>ABIOYE DOYINSOLA</t>
  </si>
  <si>
    <t>ADELAKUN SAMSON</t>
  </si>
  <si>
    <t>ONOIGBORIA OSAGIE</t>
  </si>
  <si>
    <t>ANIFOWOSHE GBENGA</t>
  </si>
  <si>
    <t>OKONJI SAMUEL</t>
  </si>
  <si>
    <t>IGBUHOR CHIDINMA</t>
  </si>
  <si>
    <t>ADEWALE OLUWASEUN</t>
  </si>
  <si>
    <t>ADELODUN BLESSING</t>
  </si>
  <si>
    <t>ODETUNDE KEHINDE</t>
  </si>
  <si>
    <t xml:space="preserve">ADEWOLE OLALEKAN </t>
  </si>
  <si>
    <t>ASHAOLU KEHINDE</t>
  </si>
  <si>
    <t>ATOYEBI OPEYEMI</t>
  </si>
  <si>
    <t>OMOTEHINSE EKUNDAYO</t>
  </si>
  <si>
    <t>OGUNLEKE BLESSING</t>
  </si>
  <si>
    <t>OLATOMIDE NICHOLAS</t>
  </si>
  <si>
    <t>OLUWATEMILEHIN OGO. C</t>
  </si>
  <si>
    <t>AYIDU DANIEL</t>
  </si>
  <si>
    <t>FOLAYAN TOBILOBA</t>
  </si>
  <si>
    <t>USMAN CHRISTIANAH</t>
  </si>
  <si>
    <t>OTUNLA GIDEON</t>
  </si>
  <si>
    <t>OGUNNOTE OLUWAFEMI</t>
  </si>
  <si>
    <t>EGBOFOR JENNIFER</t>
  </si>
  <si>
    <r>
      <t>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JAN</t>
    </r>
  </si>
  <si>
    <r>
      <t>16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JAN</t>
    </r>
  </si>
  <si>
    <r>
      <t>12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FEB</t>
    </r>
  </si>
  <si>
    <r>
      <t>16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FEB</t>
    </r>
  </si>
  <si>
    <r>
      <t>18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FEB</t>
    </r>
  </si>
  <si>
    <r>
      <t>9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MAR</t>
    </r>
  </si>
  <si>
    <r>
      <t>19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MAR</t>
    </r>
  </si>
  <si>
    <r>
      <t>25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MAR</t>
    </r>
  </si>
  <si>
    <r>
      <t>28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MAR</t>
    </r>
  </si>
  <si>
    <r>
      <t>31</t>
    </r>
    <r>
      <rPr>
        <b/>
        <vertAlign val="superscript"/>
        <sz val="10"/>
        <rFont val="Calibri"/>
      </rPr>
      <t>ST</t>
    </r>
    <r>
      <rPr>
        <b/>
        <sz val="10"/>
        <rFont val="Calibri"/>
      </rPr>
      <t xml:space="preserve"> MAR</t>
    </r>
  </si>
  <si>
    <r>
      <t>30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MAY</t>
    </r>
  </si>
  <si>
    <r>
      <t>13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JUNE</t>
    </r>
  </si>
  <si>
    <r>
      <t>15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JUNE</t>
    </r>
  </si>
  <si>
    <r>
      <t>10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</si>
  <si>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r>
      <t>17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</si>
  <si>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r>
      <t>28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AUG</t>
    </r>
  </si>
  <si>
    <r>
      <t>2</t>
    </r>
    <r>
      <rPr>
        <b/>
        <vertAlign val="superscript"/>
        <sz val="10"/>
        <rFont val="Calibri"/>
      </rPr>
      <t>ND</t>
    </r>
    <r>
      <rPr>
        <b/>
        <sz val="10"/>
        <rFont val="Calibri"/>
      </rPr>
      <t xml:space="preserve"> SEPT</t>
    </r>
  </si>
  <si>
    <r>
      <t>17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SEPT</t>
    </r>
  </si>
  <si>
    <r>
      <t>15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OCT</t>
    </r>
  </si>
  <si>
    <r>
      <t>20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OCT</t>
    </r>
  </si>
  <si>
    <r>
      <t>29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OCT</t>
    </r>
  </si>
  <si>
    <r>
      <t>7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NOV </t>
    </r>
  </si>
  <si>
    <r>
      <t>23</t>
    </r>
    <r>
      <rPr>
        <b/>
        <vertAlign val="superscript"/>
        <sz val="10"/>
        <rFont val="Calibri"/>
      </rPr>
      <t>RD</t>
    </r>
    <r>
      <rPr>
        <b/>
        <sz val="10"/>
        <rFont val="Calibri"/>
      </rPr>
      <t xml:space="preserve"> NOV</t>
    </r>
  </si>
  <si>
    <r>
      <t>24</t>
    </r>
    <r>
      <rPr>
        <b/>
        <vertAlign val="superscript"/>
        <sz val="10"/>
        <rFont val="Calibri"/>
      </rPr>
      <t>TH</t>
    </r>
    <r>
      <rPr>
        <b/>
        <sz val="10"/>
        <rFont val="Calibri"/>
      </rPr>
      <t xml:space="preserve"> NOV</t>
    </r>
  </si>
  <si>
    <t xml:space="preserve">JAN </t>
  </si>
  <si>
    <t>RCFFUTA FYBS POWER LIST (400L/500L ) 2018/2019 SESSION</t>
  </si>
  <si>
    <t>DEPARTMENT</t>
  </si>
  <si>
    <t>MONTH</t>
  </si>
  <si>
    <t>MAIL</t>
  </si>
  <si>
    <t>HOUSE ADDRESS</t>
  </si>
  <si>
    <t>NEXT OF KIN NO</t>
  </si>
  <si>
    <t>ABEGUNRIN SAMUEL OLAYINKA</t>
  </si>
  <si>
    <t>08189486778, 08109842319</t>
  </si>
  <si>
    <t>30TH</t>
  </si>
  <si>
    <t>d4abegu00@gmail.com</t>
  </si>
  <si>
    <t>Ile-Idande, Oke- onitii, Oshogbo, Osun state.</t>
  </si>
  <si>
    <t>ABIOYE AMOS OYENIYI</t>
  </si>
  <si>
    <t>08132365406</t>
  </si>
  <si>
    <t>28TH</t>
  </si>
  <si>
    <t xml:space="preserve"> OCT</t>
  </si>
  <si>
    <t>ayomidejesu@gmail.com</t>
  </si>
  <si>
    <t>No 260, New layout, Lokoja, Kogi State.</t>
  </si>
  <si>
    <t>08067306230</t>
  </si>
  <si>
    <t>ABIRI TOLULOPE IYANUOLUWA</t>
  </si>
  <si>
    <t>08078002007, 0817982489</t>
  </si>
  <si>
    <t>19TH</t>
  </si>
  <si>
    <t>MAY</t>
  </si>
  <si>
    <t>tolu_abiri@yahoo.com</t>
  </si>
  <si>
    <t>No 5, Iyase street, Ketu, Lagos.</t>
  </si>
  <si>
    <t>ADAKOMOLA ITUNUOLUWA</t>
  </si>
  <si>
    <t>ANA</t>
  </si>
  <si>
    <t>07082343688</t>
  </si>
  <si>
    <t>ADEBAYO ADENIKE</t>
  </si>
  <si>
    <t>ACC</t>
  </si>
  <si>
    <t>09033748305</t>
  </si>
  <si>
    <t>ADEBAYO OPEMIPO E</t>
  </si>
  <si>
    <t>08101042750</t>
  </si>
  <si>
    <t>13TH</t>
  </si>
  <si>
    <t>adebayoe2@gmail.com</t>
  </si>
  <si>
    <t>Asaba, delta state</t>
  </si>
  <si>
    <t>08033192217</t>
  </si>
  <si>
    <t>ADEBAYO OPEYEMI E.</t>
  </si>
  <si>
    <t>ECN</t>
  </si>
  <si>
    <t>08137171535</t>
  </si>
  <si>
    <t>ADEBAYO VICTOR ADEOYE</t>
  </si>
  <si>
    <t>09036584791</t>
  </si>
  <si>
    <t>18TH</t>
  </si>
  <si>
    <t xml:space="preserve"> JAN</t>
  </si>
  <si>
    <t>Adebayovicky1@gmail.com</t>
  </si>
  <si>
    <t>Ogbomoso</t>
  </si>
  <si>
    <t>ADEBISI ADEDOYIN</t>
  </si>
  <si>
    <t>08174617078</t>
  </si>
  <si>
    <t>27TH</t>
  </si>
  <si>
    <t>adebisiadedoyin27@gmail.com</t>
  </si>
  <si>
    <t>Adegbayi, Ibadan.</t>
  </si>
  <si>
    <t>08062145203</t>
  </si>
  <si>
    <t>ADEBOLA GIDEON PRECIOUS</t>
  </si>
  <si>
    <t>08051154566</t>
  </si>
  <si>
    <t>29TH</t>
  </si>
  <si>
    <t>SEP</t>
  </si>
  <si>
    <t>gideonade01@gmail.com</t>
  </si>
  <si>
    <t>Pt 22/24, habitation of hope, loburo, Mowe, Ogun state</t>
  </si>
  <si>
    <t>08065937777</t>
  </si>
  <si>
    <t>ADEBOWALE TAIWO SEUN</t>
  </si>
  <si>
    <t>07030960924, 08023914246</t>
  </si>
  <si>
    <t xml:space="preserve"> NOV</t>
  </si>
  <si>
    <t>adebowaletboy@gmail.com</t>
  </si>
  <si>
    <t>Blkm14,plt 8,zone C, iba Housing 18,ojo, Lagos.</t>
  </si>
  <si>
    <t>07037577904</t>
  </si>
  <si>
    <t xml:space="preserve">ADEDIRAN OLUWATOMISIN </t>
  </si>
  <si>
    <t>08027449109</t>
  </si>
  <si>
    <t>10TH</t>
  </si>
  <si>
    <t>oreoluwatom@gmail.com</t>
  </si>
  <si>
    <t>ADEDIRE MODUPE</t>
  </si>
  <si>
    <t>09095991651</t>
  </si>
  <si>
    <t>ADEDOKUN AANU ADEBARA</t>
  </si>
  <si>
    <t>08143238843</t>
  </si>
  <si>
    <t xml:space="preserve">OCT </t>
  </si>
  <si>
    <t>Adebaramarcus@gmail.com</t>
  </si>
  <si>
    <t xml:space="preserve">ADEDOKUN CLEMENT </t>
  </si>
  <si>
    <t>09039617503</t>
  </si>
  <si>
    <t xml:space="preserve">1ST </t>
  </si>
  <si>
    <t xml:space="preserve"> APR</t>
  </si>
  <si>
    <t>adedokunclement@gmail.com</t>
  </si>
  <si>
    <t>No 22, Babatunde street, Ago are, Oyo State</t>
  </si>
  <si>
    <t>ADEDOKUN PETER</t>
  </si>
  <si>
    <t>07030079906</t>
  </si>
  <si>
    <t>JUN</t>
  </si>
  <si>
    <t>peteradedokun1@gmail.com</t>
  </si>
  <si>
    <t>ADEFISAN OLUWATOBI E.</t>
  </si>
  <si>
    <t>08134150545</t>
  </si>
  <si>
    <t>afizjnr@gmail.com</t>
  </si>
  <si>
    <t>Ondo state.</t>
  </si>
  <si>
    <t>09032577039</t>
  </si>
  <si>
    <t>ADEFOWORA AYOMIDE JUNIOR</t>
  </si>
  <si>
    <t>07014756981</t>
  </si>
  <si>
    <t xml:space="preserve">7TH </t>
  </si>
  <si>
    <t>ADEGBITE AYOMIDE DAVID</t>
  </si>
  <si>
    <t>09036563197</t>
  </si>
  <si>
    <t>25TH</t>
  </si>
  <si>
    <t>MAR</t>
  </si>
  <si>
    <t>davidsonpadree@gmail.com</t>
  </si>
  <si>
    <t>Arogundade street, Atiba Estate, Oshogbo, Osun state.</t>
  </si>
  <si>
    <t>08060280436</t>
  </si>
  <si>
    <t>ADEGBOYEGA ADEBOWALE</t>
  </si>
  <si>
    <t>08163544804</t>
  </si>
  <si>
    <t>adexpeter11@gmail.com</t>
  </si>
  <si>
    <t>No 26, zone 5,Amuloko, Ibadan.</t>
  </si>
  <si>
    <t>ADEGBOYEGA SEYI MOSES</t>
  </si>
  <si>
    <t>08093728598</t>
  </si>
  <si>
    <t>15TH</t>
  </si>
  <si>
    <t>FEB</t>
  </si>
  <si>
    <t>ADEGBULUGBE DIEKOLOPEMI</t>
  </si>
  <si>
    <t>08162177165</t>
  </si>
  <si>
    <t>Deekayy52@gmail.com</t>
  </si>
  <si>
    <t>Plot 16, block 35, Aule, Akure.</t>
  </si>
  <si>
    <t>ADEGOKE ADEOLUWA O.</t>
  </si>
  <si>
    <t>08148580395</t>
  </si>
  <si>
    <t>12TH</t>
  </si>
  <si>
    <t>adeoluwaadegoke11@gmail.com</t>
  </si>
  <si>
    <t>Games Village, Abuja.</t>
  </si>
  <si>
    <t>08075281181</t>
  </si>
  <si>
    <t>ADEKAIYE DAMILOLA</t>
  </si>
  <si>
    <t>08160327437</t>
  </si>
  <si>
    <t>JULY</t>
  </si>
  <si>
    <t>ADELAKUN SUNDAY BUKUNMI</t>
  </si>
  <si>
    <t>08164389767</t>
  </si>
  <si>
    <t xml:space="preserve">4TH </t>
  </si>
  <si>
    <t>psabatadelakun@gmail.com</t>
  </si>
  <si>
    <t>His grace villa Ayedaade, Ogbomosho, Oyo state.</t>
  </si>
  <si>
    <t>08132187494</t>
  </si>
  <si>
    <t>ADELEKE BABTUNDE</t>
  </si>
  <si>
    <t>08136601345</t>
  </si>
  <si>
    <t>14TH</t>
  </si>
  <si>
    <t xml:space="preserve"> SEP</t>
  </si>
  <si>
    <t>lakespr@gmail.com</t>
  </si>
  <si>
    <t>Block B, plot 6, odeku layout, liberty Academy, Odo ona Elewu, Ibadan.</t>
  </si>
  <si>
    <t>08056346564</t>
  </si>
  <si>
    <t>ADELEYE OLUWASEUN JOSEPH</t>
  </si>
  <si>
    <t>08136686670</t>
  </si>
  <si>
    <t>31ST</t>
  </si>
  <si>
    <t>ADELU ADEONIYE OLUWAFEMI</t>
  </si>
  <si>
    <t>08164541603</t>
  </si>
  <si>
    <t>11TH</t>
  </si>
  <si>
    <t>adeluadeoniye14@gmail.com</t>
  </si>
  <si>
    <t>Block O, Plot 10, laderin estate, Abeokuta, Ogun state.</t>
  </si>
  <si>
    <t>08036088637</t>
  </si>
  <si>
    <t>ADEMOLA EMMANUEL</t>
  </si>
  <si>
    <t>ADENIJI ADEBOLA ESTHER</t>
  </si>
  <si>
    <t>08109666325</t>
  </si>
  <si>
    <t xml:space="preserve">3RD </t>
  </si>
  <si>
    <t xml:space="preserve"> AUG</t>
  </si>
  <si>
    <t>estheradebola49@gmail.com</t>
  </si>
  <si>
    <t>10/12 funsho Willliams avenue, ojuelegba, Lagos.</t>
  </si>
  <si>
    <t>08028277293</t>
  </si>
  <si>
    <t xml:space="preserve">ADENIJI OLUWASEUNFUNMI </t>
  </si>
  <si>
    <t>09030043335</t>
  </si>
  <si>
    <t>hermajesty.3575@gmail.com</t>
  </si>
  <si>
    <t>No3,line 10, BalogunAmosun Iyanachurch, off Iwo road, Ibadan, Oyo state.</t>
  </si>
  <si>
    <t>ADENIPEKUN DARA</t>
  </si>
  <si>
    <t>08131213674</t>
  </si>
  <si>
    <t xml:space="preserve"> MAY</t>
  </si>
  <si>
    <t>daraadenipekun@yahoo.com</t>
  </si>
  <si>
    <t>7, olorunleke street,Majiyagbe, ipaja Lagos.</t>
  </si>
  <si>
    <t>08037658976</t>
  </si>
  <si>
    <t>ADENIRAN DAMILARE MATTHEW</t>
  </si>
  <si>
    <t>09031214879</t>
  </si>
  <si>
    <t>22ND</t>
  </si>
  <si>
    <t>blissydammy22@gmail.com</t>
  </si>
  <si>
    <t>08163436358</t>
  </si>
  <si>
    <t>ADENIRAN FRANCIS T.</t>
  </si>
  <si>
    <t>08136102323</t>
  </si>
  <si>
    <t>ADENUGA OLUWASEUNAYO ADENIKE</t>
  </si>
  <si>
    <t>08180322627</t>
  </si>
  <si>
    <t>oluwaseunadenuga445@gmail.com</t>
  </si>
  <si>
    <t>Peace avenue, heritage estate, Oluyole Ibadan, Oyo state</t>
  </si>
  <si>
    <t>08033451568</t>
  </si>
  <si>
    <t>ADEOYE ADETUNJI</t>
  </si>
  <si>
    <t>09034837354</t>
  </si>
  <si>
    <t>adetunji4325@gmail.com</t>
  </si>
  <si>
    <t>4, adenigbagbe cresent, gbaga, ikorodu, Lagos.</t>
  </si>
  <si>
    <t>ADERIGBE DANIEL SHINAOLAMI</t>
  </si>
  <si>
    <t>07035477148</t>
  </si>
  <si>
    <t>ADERINALE ADEDEJI MOSES</t>
  </si>
  <si>
    <t>09098260169</t>
  </si>
  <si>
    <t>16TH</t>
  </si>
  <si>
    <t xml:space="preserve"> JUN</t>
  </si>
  <si>
    <t>mosesadedeji24@gmail.com</t>
  </si>
  <si>
    <t>8, Aduralere street, off oremetta bus/stop, shahsha, Lagos.</t>
  </si>
  <si>
    <t>ADESANYA JEREMAIH</t>
  </si>
  <si>
    <t>08148300364</t>
  </si>
  <si>
    <t>20TH</t>
  </si>
  <si>
    <t>herbiolar2@gmail.com</t>
  </si>
  <si>
    <t>4,Olateru street, off Obese road, Ikorodu, Lagos.</t>
  </si>
  <si>
    <t>07061829840</t>
  </si>
  <si>
    <t>ADESEYIOJU EMIOLA  ADEBUSOLA</t>
  </si>
  <si>
    <t>09064171557, 08095093014</t>
  </si>
  <si>
    <t xml:space="preserve">2ND </t>
  </si>
  <si>
    <t>emiolaomojolade@gmail.com</t>
  </si>
  <si>
    <t>30, Opeyemi street, new gbagi, iwo road, Ibadan.</t>
  </si>
  <si>
    <t>08102416234</t>
  </si>
  <si>
    <t>ADESUYAN TEMIDAYO TIMOTHY</t>
  </si>
  <si>
    <t>08138460821</t>
  </si>
  <si>
    <t>Dadesuyan@yahoo.com</t>
  </si>
  <si>
    <t>No1,akeem adeyemo, off piuz eze, aboru, iyanapaja Lagos.</t>
  </si>
  <si>
    <t>ADEYEMI ROBERTS IYANUOLUWA</t>
  </si>
  <si>
    <t>07068262309</t>
  </si>
  <si>
    <t>iyanuroberts@gmail.com</t>
  </si>
  <si>
    <t>31, yusuf street, abesan estate, ipaja, Lagos.</t>
  </si>
  <si>
    <t>ADEYEMO ABISOYE A.</t>
  </si>
  <si>
    <t>09063823674</t>
  </si>
  <si>
    <t>24TH</t>
  </si>
  <si>
    <t xml:space="preserve">FEB </t>
  </si>
  <si>
    <t>adeyemoferanmi78@gmail.com</t>
  </si>
  <si>
    <t>Oyo state.</t>
  </si>
  <si>
    <t>09013823674</t>
  </si>
  <si>
    <t>ADEYEYE OLUJIDE</t>
  </si>
  <si>
    <t>07036899747</t>
  </si>
  <si>
    <t>yeyeolujide@gmail.com</t>
  </si>
  <si>
    <t>No 43, oke-aro Iyamoye, Ijumu LGA, Kogi State.</t>
  </si>
  <si>
    <t>ADU OLAMIDE MICHEAL</t>
  </si>
  <si>
    <t>07080248513</t>
  </si>
  <si>
    <t>NOV</t>
  </si>
  <si>
    <t>olamideadu@outlook.com</t>
  </si>
  <si>
    <t>Elemuletu, Oluwatuyi, Akure, Ondo State.</t>
  </si>
  <si>
    <t>08183151889</t>
  </si>
  <si>
    <t>AFOLAYAN EMMANUEL</t>
  </si>
  <si>
    <t>07069721384</t>
  </si>
  <si>
    <t>afolayanemmanueloluwakayode@gmail.com</t>
  </si>
  <si>
    <t>AFOLAYAN IBUKUN E.</t>
  </si>
  <si>
    <t>09096553322</t>
  </si>
  <si>
    <t>ibkfola429@gmail.com</t>
  </si>
  <si>
    <t>King of Glory Estate, Atan Ota, Ogun State.</t>
  </si>
  <si>
    <t>08028168417</t>
  </si>
  <si>
    <t xml:space="preserve">AGBEDE BRIDGET </t>
  </si>
  <si>
    <t>08184414934</t>
  </si>
  <si>
    <t>agbedebridget14@gmail.com</t>
  </si>
  <si>
    <t>Akure, Ondo state.</t>
  </si>
  <si>
    <t>08068496862</t>
  </si>
  <si>
    <t>AGBOLAHAN JOHN</t>
  </si>
  <si>
    <t>08102227529</t>
  </si>
  <si>
    <t>AGUNBIADE ADEDOYIN</t>
  </si>
  <si>
    <t>08149990866</t>
  </si>
  <si>
    <t>AUG</t>
  </si>
  <si>
    <t>AHAM VICTOR</t>
  </si>
  <si>
    <t>08030864528</t>
  </si>
  <si>
    <t>2ND</t>
  </si>
  <si>
    <t>victor.aham02@gmail.com</t>
  </si>
  <si>
    <t>off onaopemipo street, okitipupa, ondo sate</t>
  </si>
  <si>
    <t>08107130648</t>
  </si>
  <si>
    <t>AJAYI OLAMIDE PRECIOUS</t>
  </si>
  <si>
    <t>08101163015</t>
  </si>
  <si>
    <t>kayode7075@gmail.com</t>
  </si>
  <si>
    <t>Oye-Ekiti</t>
  </si>
  <si>
    <t>AJAYI OLUWASEGUN ERIC</t>
  </si>
  <si>
    <t>08108013440</t>
  </si>
  <si>
    <t xml:space="preserve">6TH </t>
  </si>
  <si>
    <t xml:space="preserve"> FEB</t>
  </si>
  <si>
    <t>shegzlite49@gmail.com</t>
  </si>
  <si>
    <t>Magodo Estate, Lagos state.</t>
  </si>
  <si>
    <t>07065801930</t>
  </si>
  <si>
    <t xml:space="preserve">AJAYI OLUWATOSIN MARY </t>
  </si>
  <si>
    <t>08136915079</t>
  </si>
  <si>
    <t xml:space="preserve"> DEC</t>
  </si>
  <si>
    <t>oluwatomisinajayi250@yahoo.com</t>
  </si>
  <si>
    <t>29,may flower circle street,ijede, ikorodu, Lagos state.</t>
  </si>
  <si>
    <t>AJEWOLE OLUWASEUN AYOBAMI</t>
  </si>
  <si>
    <t>08181605761, 008120917177</t>
  </si>
  <si>
    <t>seunayo55@gmail.com</t>
  </si>
  <si>
    <t>Agege, Lagos.</t>
  </si>
  <si>
    <t>AJIBADE GBENGA KELVIN</t>
  </si>
  <si>
    <t>08179639099</t>
  </si>
  <si>
    <t>AJIGBOYE ABIODUN ABIYE</t>
  </si>
  <si>
    <t>07068077494</t>
  </si>
  <si>
    <t>odunayoeunice7@gmail.com</t>
  </si>
  <si>
    <t>House 3, Road 1, Eyin-Ala leo, Akure.</t>
  </si>
  <si>
    <t>AJILAKAKO OLUWAFEMI</t>
  </si>
  <si>
    <t>08061360305</t>
  </si>
  <si>
    <t>AJILEYE ESTHER</t>
  </si>
  <si>
    <t>08132832612</t>
  </si>
  <si>
    <t>23RD</t>
  </si>
  <si>
    <t>AJISOLA CHARITY TOMILOLA</t>
  </si>
  <si>
    <t>08160325142</t>
  </si>
  <si>
    <t xml:space="preserve">5TH </t>
  </si>
  <si>
    <t>ajisolatomi33@gmail.com</t>
  </si>
  <si>
    <t>AKERELE ADEOLA ADEDAPO</t>
  </si>
  <si>
    <t>07012224472</t>
  </si>
  <si>
    <t>7TH</t>
  </si>
  <si>
    <t>akerele_adeola@yahoo.com</t>
  </si>
  <si>
    <t>1,Sesan Adenekan street, ipaja, Lagos.</t>
  </si>
  <si>
    <t>AKHAGBOKHAI FAVOUR</t>
  </si>
  <si>
    <t>08068138881</t>
  </si>
  <si>
    <t>favour589@gmail.com</t>
  </si>
  <si>
    <t>No 16B, Zone 5, Dutse Alh, Abuja.</t>
  </si>
  <si>
    <t>08064155245</t>
  </si>
  <si>
    <t xml:space="preserve">AKINADE TUMISE EBENEZER </t>
  </si>
  <si>
    <t>09053316078</t>
  </si>
  <si>
    <t>akinadetunmise8@gmail.com</t>
  </si>
  <si>
    <t>Ibadan.</t>
  </si>
  <si>
    <t>08187669362</t>
  </si>
  <si>
    <t>AKINBAMI MICHAEL D.</t>
  </si>
  <si>
    <t>08128206543</t>
  </si>
  <si>
    <t>21ST</t>
  </si>
  <si>
    <t>akinbami64@gmail.com</t>
  </si>
  <si>
    <t>08160052348</t>
  </si>
  <si>
    <t>AKINBOBOLA EBENEZER</t>
  </si>
  <si>
    <t>08181718339</t>
  </si>
  <si>
    <t>ebenice4real@gmail.com</t>
  </si>
  <si>
    <t>Apapa, Lagos.</t>
  </si>
  <si>
    <t>AKINBOLA OLADIMEJI DAVID</t>
  </si>
  <si>
    <t>08147112500</t>
  </si>
  <si>
    <t>davidakins18@gmail.com</t>
  </si>
  <si>
    <t>Ondo road, Akure, Ondo state.</t>
  </si>
  <si>
    <t>AKINFOLARIN OLADAYO V.</t>
  </si>
  <si>
    <t>08165689805</t>
  </si>
  <si>
    <t>AKINJOLE LYDIA TREASURE</t>
  </si>
  <si>
    <t>08037544669</t>
  </si>
  <si>
    <t>princesstreasure832@gmail.com</t>
  </si>
  <si>
    <t>Akindoyin Estate, Ede road, Ile-Ife, Osun state.</t>
  </si>
  <si>
    <t>07062544374</t>
  </si>
  <si>
    <t>AKINMOYE AKINWALE A.</t>
  </si>
  <si>
    <t>09038146128</t>
  </si>
  <si>
    <t>Akinmoyeakinwale@yahoo.com</t>
  </si>
  <si>
    <t>31b, eleda avenue, ojo festac, Lagos.</t>
  </si>
  <si>
    <t>08055339692</t>
  </si>
  <si>
    <t>AKINNOLA TOLULOPE SUNDAY</t>
  </si>
  <si>
    <t>09033170334</t>
  </si>
  <si>
    <t>14A IGBONKUTA STREET, ONDO CITY.</t>
  </si>
  <si>
    <t>AKINOLA OLUWASEYI A</t>
  </si>
  <si>
    <t>07062578969</t>
  </si>
  <si>
    <t>oluwaseyi.akindele@yahoo.com</t>
  </si>
  <si>
    <t>Alabado, Ogun state.</t>
  </si>
  <si>
    <t>AKINRO OLAWALE AKINBOLAWA</t>
  </si>
  <si>
    <t>08117602673</t>
  </si>
  <si>
    <t>akinbolawa90@gmail.com</t>
  </si>
  <si>
    <t>Adejuyigbe avenue, off Ondo road, Adebowale street, Akure, Ondo state.</t>
  </si>
  <si>
    <t>08032752920</t>
  </si>
  <si>
    <t>AKINRODOYE OLASUNMBO</t>
  </si>
  <si>
    <t>07069699741</t>
  </si>
  <si>
    <t>APR</t>
  </si>
  <si>
    <t>Izleavril@gmail.com</t>
  </si>
  <si>
    <t>Ikorodu, Lagos</t>
  </si>
  <si>
    <t>08033068032</t>
  </si>
  <si>
    <t>AKINSEYE PETER .T</t>
  </si>
  <si>
    <t>08100911631</t>
  </si>
  <si>
    <t>donmcpeterson@gmail.com</t>
  </si>
  <si>
    <t>4th gate, housing estate, Akure.</t>
  </si>
  <si>
    <t>08067124760</t>
  </si>
  <si>
    <t xml:space="preserve">AKINTAN OBED OLUWASEUN </t>
  </si>
  <si>
    <t>08109949895</t>
  </si>
  <si>
    <t>obedakitan@gmail.com</t>
  </si>
  <si>
    <t>Block C, odo oyo street, yaba, Ondo.</t>
  </si>
  <si>
    <t>08067657070</t>
  </si>
  <si>
    <t>AKINTOLA OLUWATOSIN FEYISARA</t>
  </si>
  <si>
    <t>08133540833</t>
  </si>
  <si>
    <t>tosirano007@gmail.com</t>
  </si>
  <si>
    <t>18, Ijeja Abeokuta.</t>
  </si>
  <si>
    <t>AKINWALE ADENIYI OLAITAN</t>
  </si>
  <si>
    <t>08117358250</t>
  </si>
  <si>
    <t>akinwaleadeniyi2@gmail.com</t>
  </si>
  <si>
    <t>08135914658</t>
  </si>
  <si>
    <t>AKINWUMI AYOMIDE ADERINSOLA</t>
  </si>
  <si>
    <t>08167870969</t>
  </si>
  <si>
    <t xml:space="preserve">28TH </t>
  </si>
  <si>
    <t>ayomiderinsola@gmail.com</t>
  </si>
  <si>
    <t>Alejolowo, Akure.</t>
  </si>
  <si>
    <t>AKINYOMADE ANITA</t>
  </si>
  <si>
    <t>09031800163</t>
  </si>
  <si>
    <t>atlantagold96@gmail.com</t>
  </si>
  <si>
    <t>Zone D1,kajola ijigba, oda road, Akure.</t>
  </si>
  <si>
    <t>AKOSILE OLUWAFERANMI</t>
  </si>
  <si>
    <t>07051783989</t>
  </si>
  <si>
    <t>adeolaraymond1@gmail.com</t>
  </si>
  <si>
    <t>08035707652</t>
  </si>
  <si>
    <t>ALABA OLUWAFEMI</t>
  </si>
  <si>
    <t>08106390423</t>
  </si>
  <si>
    <t xml:space="preserve">8TH </t>
  </si>
  <si>
    <t xml:space="preserve">ALABI ANIYIKAYE DAVID </t>
  </si>
  <si>
    <t>09035253708</t>
  </si>
  <si>
    <t xml:space="preserve">9TH </t>
  </si>
  <si>
    <t>ALABI ELIJAH MAYOWA</t>
  </si>
  <si>
    <t>08139108524</t>
  </si>
  <si>
    <t>DEC</t>
  </si>
  <si>
    <t>Almastel18@gmail.com</t>
  </si>
  <si>
    <t>Akinyele, Ibadan.</t>
  </si>
  <si>
    <t>ALABI IBUKUN OLAYINKA</t>
  </si>
  <si>
    <t>08163035962, 08139591222</t>
  </si>
  <si>
    <t>alabi.ibukunoluwa@yahoo.com</t>
  </si>
  <si>
    <t>Plot 7,Oloko Apata, Ibadan, Oyo state.</t>
  </si>
  <si>
    <t>07033877982</t>
  </si>
  <si>
    <t>ALABI SARAH FUNMILAYO</t>
  </si>
  <si>
    <t>08020709921</t>
  </si>
  <si>
    <t>OCT</t>
  </si>
  <si>
    <t>olufunxy@gmail.com</t>
  </si>
  <si>
    <t>Alagbado, Lagos State</t>
  </si>
  <si>
    <t>08037163600</t>
  </si>
  <si>
    <t>ALADESUYI TEMITOPE</t>
  </si>
  <si>
    <t>08162941396</t>
  </si>
  <si>
    <t>aladesuyitemitope@gmail.com</t>
  </si>
  <si>
    <t>No 1,temidire bus stop, Awule road, Akure, Ondo state.</t>
  </si>
  <si>
    <t>ALIU DEMILADE</t>
  </si>
  <si>
    <t>08082512126</t>
  </si>
  <si>
    <t>ALO BOLUWATIFE OLAYINKA</t>
  </si>
  <si>
    <t>07039822412, 08050507614</t>
  </si>
  <si>
    <t>kennyboluwatife@gmail.com</t>
  </si>
  <si>
    <t>27, Micheal Ayorinde street, agbelekale, abule egba Lagos State</t>
  </si>
  <si>
    <t>ALO DOLAPO T</t>
  </si>
  <si>
    <t>07030440383</t>
  </si>
  <si>
    <t>dzorlly@gmail.com</t>
  </si>
  <si>
    <t>07030077119</t>
  </si>
  <si>
    <t>ALONGE TEMILOLA</t>
  </si>
  <si>
    <t>BAM</t>
  </si>
  <si>
    <t>08097558498</t>
  </si>
  <si>
    <t>ALUGBIN SOLOMON ADEDAYO</t>
  </si>
  <si>
    <t>08104706381</t>
  </si>
  <si>
    <t>adedayo355@gmail.com</t>
  </si>
  <si>
    <t xml:space="preserve">AMUSAN DAMILOLA </t>
  </si>
  <si>
    <t>07031989580</t>
  </si>
  <si>
    <t>ANIFOWOSE FOLUKE ESTHER</t>
  </si>
  <si>
    <t>08171352396, 09033472048</t>
  </si>
  <si>
    <t>anifowosefoluke01@gmail.com</t>
  </si>
  <si>
    <t>No 5, idiorogbo agunfoye, off igbogbo road, Ikorodu Lagos.</t>
  </si>
  <si>
    <t>07039784944</t>
  </si>
  <si>
    <t>AOGO SAMUEL</t>
  </si>
  <si>
    <t>07035811295</t>
  </si>
  <si>
    <t>samtee378@gmail.com</t>
  </si>
  <si>
    <t>Imadin QTRS behind Zenik International school, Ilesha.</t>
  </si>
  <si>
    <t>08102813748</t>
  </si>
  <si>
    <t>AREMU OMOBOLAJI F</t>
  </si>
  <si>
    <t>09033156523</t>
  </si>
  <si>
    <t>demyykongy@gmail.com</t>
  </si>
  <si>
    <t>Plot 29,nsmpc estate, ijede road, ikorodu, Lagos.</t>
  </si>
  <si>
    <t>08023423748</t>
  </si>
  <si>
    <t>AREMU TIMILEHIN SAMUEL</t>
  </si>
  <si>
    <t>09056194477</t>
  </si>
  <si>
    <t>sammytimti@gmail.com</t>
  </si>
  <si>
    <t>Wakajaiye, ajagba Iyana church, Ibadan.</t>
  </si>
  <si>
    <t>08030829570</t>
  </si>
  <si>
    <t>ARIFAYAN OLADIPO DANIEL</t>
  </si>
  <si>
    <t>08164856582</t>
  </si>
  <si>
    <t>dipsman15@gmail.com</t>
  </si>
  <si>
    <t>Arif medical centre, Ore, Ondo state. / No 5, Bamidele Oduntan, Akute, Ogun state.</t>
  </si>
  <si>
    <t>AROWOSEGBE OLUKAYODE</t>
  </si>
  <si>
    <t>07031285214</t>
  </si>
  <si>
    <t>08132873787</t>
  </si>
  <si>
    <t>ATIBIOKE OLURONKE GLORY</t>
  </si>
  <si>
    <t>08069501071</t>
  </si>
  <si>
    <t>oluronke2@gmail.com</t>
  </si>
  <si>
    <t>Orisunbare street, Ondo road, Akure.</t>
  </si>
  <si>
    <t>08112843500</t>
  </si>
  <si>
    <t>AWI OLUWATOBI SAMUEL</t>
  </si>
  <si>
    <t>08107477434</t>
  </si>
  <si>
    <t>awisamuel@gmail.com</t>
  </si>
  <si>
    <t>AWODIRAN SAMUEL A.</t>
  </si>
  <si>
    <t>07068740643</t>
  </si>
  <si>
    <t>awodiransamuela@gmail.com</t>
  </si>
  <si>
    <t>AWOMA DAMILOLA</t>
  </si>
  <si>
    <t>08103524629</t>
  </si>
  <si>
    <t>Awomad1@gmail.com</t>
  </si>
  <si>
    <t>1, osarenwenda street, off Evbuotubu quarters,Benin city, Edo state.</t>
  </si>
  <si>
    <t>AWOMA I. FAVOUR</t>
  </si>
  <si>
    <t>07030466701</t>
  </si>
  <si>
    <t>favouribkawoma@gmail.com</t>
  </si>
  <si>
    <t>AWONUSI ABIODUN O.</t>
  </si>
  <si>
    <t>08100103722</t>
  </si>
  <si>
    <t>26TH</t>
  </si>
  <si>
    <t>Awonusia@gmail.com</t>
  </si>
  <si>
    <t>No 4, Adewumi Adesina close, Edo lodge, Akure, Ondo state.</t>
  </si>
  <si>
    <t>AWOSIKA MOYINOLUWA</t>
  </si>
  <si>
    <t>08091275993</t>
  </si>
  <si>
    <t>mhoyinoluwa@gmail.com</t>
  </si>
  <si>
    <t>Abesan estate, ipaja,Lagos.</t>
  </si>
  <si>
    <t>AYANLEYE STEPHEN FOLUSO</t>
  </si>
  <si>
    <t>08130827602</t>
  </si>
  <si>
    <t>williamstephen23@gmail.com</t>
  </si>
  <si>
    <t>08038589943</t>
  </si>
  <si>
    <t xml:space="preserve">AYIBIOWU KAYODE </t>
  </si>
  <si>
    <t>08140971202</t>
  </si>
  <si>
    <t>17TH</t>
  </si>
  <si>
    <t>AYODEJI HELEN</t>
  </si>
  <si>
    <t>08168049409</t>
  </si>
  <si>
    <t>helenayodeji146@gmail.com</t>
  </si>
  <si>
    <t>Lagos State</t>
  </si>
  <si>
    <t>08068609826</t>
  </si>
  <si>
    <t>AYODELE OMOLAYO JANE</t>
  </si>
  <si>
    <t>08100247572</t>
  </si>
  <si>
    <t>BABATUNDE FEMI EMMANUEL</t>
  </si>
  <si>
    <t>07069189039</t>
  </si>
  <si>
    <t>emmanuelfemi772@gmail.com</t>
  </si>
  <si>
    <t>Iyana paja, Lagos</t>
  </si>
  <si>
    <t>08024227704</t>
  </si>
  <si>
    <t>BADEJO JOSHUA</t>
  </si>
  <si>
    <t>08160489973</t>
  </si>
  <si>
    <t>BAMSA OLUWAKEMI JUSTINE</t>
  </si>
  <si>
    <t>07037357128, 08178706956</t>
  </si>
  <si>
    <t>oluwakemijustine@gmail.com</t>
  </si>
  <si>
    <t>BANKOLE OLADIMEJI S.</t>
  </si>
  <si>
    <t>08141345303</t>
  </si>
  <si>
    <t>BAYODE BANJI M.</t>
  </si>
  <si>
    <t>08137250310</t>
  </si>
  <si>
    <t>banjibayode@gmail.com</t>
  </si>
  <si>
    <t>No 8, Fagbola street tab on tabon Agege, Lagos.</t>
  </si>
  <si>
    <t>CHIKWENDU EBUBE FELIX</t>
  </si>
  <si>
    <t>08033548460</t>
  </si>
  <si>
    <t>5TH</t>
  </si>
  <si>
    <t>DADA GBENGA PATRICK</t>
  </si>
  <si>
    <t>08063090031</t>
  </si>
  <si>
    <t>olugbengap@gmail.com</t>
  </si>
  <si>
    <t>No E/38 Aragan street, Osin Ekiti.</t>
  </si>
  <si>
    <t>DARAMOLA JUMOKE D.</t>
  </si>
  <si>
    <t>08137479550</t>
  </si>
  <si>
    <t>Okebola street, ijoka road, Akure, Ondo state.</t>
  </si>
  <si>
    <t>DARE ABIODUN BLESSING</t>
  </si>
  <si>
    <t>08109039949</t>
  </si>
  <si>
    <t>afrikex19@gmail.com</t>
  </si>
  <si>
    <t>Kojufoluwa estate service area, Oshogbo, Osun state</t>
  </si>
  <si>
    <t>08052249395</t>
  </si>
  <si>
    <t>EKECHUKWU DANIEL</t>
  </si>
  <si>
    <t>08068564195</t>
  </si>
  <si>
    <t>daniel.kelechi@yahoo.com</t>
  </si>
  <si>
    <t>Lekki, Lagos.</t>
  </si>
  <si>
    <t>ELUYODE VICTOR AYOWOLE</t>
  </si>
  <si>
    <t>08037620547</t>
  </si>
  <si>
    <t>veluyode@gmail.com</t>
  </si>
  <si>
    <t>Ile ife, Osun state.</t>
  </si>
  <si>
    <t>08139473820</t>
  </si>
  <si>
    <t>EPEBINU WANDE S.</t>
  </si>
  <si>
    <t>08143686106</t>
  </si>
  <si>
    <t>ERUKUBAMI OMOWUMI</t>
  </si>
  <si>
    <t>08039521929</t>
  </si>
  <si>
    <t>omowumieru</t>
  </si>
  <si>
    <t>Plot 4, block 4, afnbiowo estate, Akure, Ondo state.</t>
  </si>
  <si>
    <t>ESEIMUEDE I. DESTINY</t>
  </si>
  <si>
    <t>07038360804</t>
  </si>
  <si>
    <t>APRIL</t>
  </si>
  <si>
    <t>eseimuededestiny@gmail.com</t>
  </si>
  <si>
    <t>Benin</t>
  </si>
  <si>
    <t>07055686528</t>
  </si>
  <si>
    <t>EVI RUTH OLUWATOSIN</t>
  </si>
  <si>
    <t>CHM</t>
  </si>
  <si>
    <t>09032110236</t>
  </si>
  <si>
    <t>Rutholuwatosin01@gmail.com</t>
  </si>
  <si>
    <t>Nanakumo close, off addo road, Ajah Lagos.</t>
  </si>
  <si>
    <t>08062550965</t>
  </si>
  <si>
    <t>EWENLA KOREDE</t>
  </si>
  <si>
    <t>FADEYI RICHARD</t>
  </si>
  <si>
    <t>08064494126</t>
  </si>
  <si>
    <t>FAKEYE VICTOR</t>
  </si>
  <si>
    <t>08135801336</t>
  </si>
  <si>
    <t>adebukefakeye@yahoo.com</t>
  </si>
  <si>
    <t>Unity Estate, Abeokuta, Ogun State.</t>
  </si>
  <si>
    <t>08060611565</t>
  </si>
  <si>
    <t>FAKOLOGBON SINMILOLUWA E.</t>
  </si>
  <si>
    <t>08102985691</t>
  </si>
  <si>
    <t>odun16ayo@gmail.com</t>
  </si>
  <si>
    <t>Block b14, peace avenue, diamond estate, eruwen Ikorodu, Lagos.</t>
  </si>
  <si>
    <t>08092950531,08103306965</t>
  </si>
  <si>
    <t>FALANA AYOKUNLE OLUWAFEMI</t>
  </si>
  <si>
    <t>07062929797</t>
  </si>
  <si>
    <t>falanaayokunle73@gmail.com</t>
  </si>
  <si>
    <t>Damlek street, Adebayo/housing road, Ado-Ekiti, Ekiti State.</t>
  </si>
  <si>
    <t>FALANA MARY OLUWATOMISIN</t>
  </si>
  <si>
    <t>07062723160</t>
  </si>
  <si>
    <t>falanamary17@gmail.com</t>
  </si>
  <si>
    <t>15, opeyemi street, Wakajaye, Ibadan.</t>
  </si>
  <si>
    <t>FAMUAGUN OLUWAKEMI JUSTINA</t>
  </si>
  <si>
    <t>07062212705</t>
  </si>
  <si>
    <t xml:space="preserve"> MAR</t>
  </si>
  <si>
    <t>justinaoluwakemi@gmail.com</t>
  </si>
  <si>
    <t>No 2,sefo lane,oda road, Akure.</t>
  </si>
  <si>
    <t>07033776914</t>
  </si>
  <si>
    <t>FASOYI AYODEJI S.</t>
  </si>
  <si>
    <t>08140436071</t>
  </si>
  <si>
    <t>FATOKI OLUWANIFEMI</t>
  </si>
  <si>
    <t>08168938370</t>
  </si>
  <si>
    <t>Akure Ondo state.</t>
  </si>
  <si>
    <t>08030447867</t>
  </si>
  <si>
    <t xml:space="preserve">FAYEMI DAMILOLA </t>
  </si>
  <si>
    <t>07066861992</t>
  </si>
  <si>
    <t>fikayomifayemi@gmail.com</t>
  </si>
  <si>
    <t>0708685105</t>
  </si>
  <si>
    <t>FAYEMI MESHACH EMMANUEL</t>
  </si>
  <si>
    <t>08134230823</t>
  </si>
  <si>
    <t>meshachfayemi@gmail.com</t>
  </si>
  <si>
    <t>1,Abolade street,off oyenuga ijeshatedo surulere, Lagos.</t>
  </si>
  <si>
    <t>08086652135</t>
  </si>
  <si>
    <t>FESOBI MOYINOLUWA</t>
  </si>
  <si>
    <t>08133956186, 08168575053</t>
  </si>
  <si>
    <t>abimbolafesobi@gmail.com</t>
  </si>
  <si>
    <t>Federal Housing estate Shagari village, Akure, Ondo state.</t>
  </si>
  <si>
    <t>08106498023</t>
  </si>
  <si>
    <t xml:space="preserve">GANIYU MOSUNMOLA ELIZABETH </t>
  </si>
  <si>
    <t>08133893761</t>
  </si>
  <si>
    <t>gem9496@gmail.com</t>
  </si>
  <si>
    <t>St Luke off ijoka road, Akure, Ondo  State.</t>
  </si>
  <si>
    <t>070333818115</t>
  </si>
  <si>
    <t>GEGE MICHEAL</t>
  </si>
  <si>
    <t>08160042968</t>
  </si>
  <si>
    <t>gegemykel@gmail.com</t>
  </si>
  <si>
    <t>Orita-Challenge, Ibadan</t>
  </si>
  <si>
    <t>GEORGE DAMILOLA</t>
  </si>
  <si>
    <t>07061069550</t>
  </si>
  <si>
    <t>HOLO VEVEK AYOTOBI</t>
  </si>
  <si>
    <t>08064742110</t>
  </si>
  <si>
    <t>IBILORO OLUWAFUNMISHO</t>
  </si>
  <si>
    <t>08134333765</t>
  </si>
  <si>
    <t>ibilorofunmi@gmail.com</t>
  </si>
  <si>
    <t>4, River valley est. Lagos.</t>
  </si>
  <si>
    <t>08033563207</t>
  </si>
  <si>
    <t>IBITOYE O. EMMANUEL</t>
  </si>
  <si>
    <t>08127277735</t>
  </si>
  <si>
    <t>IBIYOMI OLALEKAN DAVIES</t>
  </si>
  <si>
    <t>08077272382</t>
  </si>
  <si>
    <t>ibiyomiolalekan23@gmail.com</t>
  </si>
  <si>
    <t>Olorunda, Akobo, Ibadan.</t>
  </si>
  <si>
    <t>08060414460</t>
  </si>
  <si>
    <t>IBIYOOYE ADEDAYO</t>
  </si>
  <si>
    <t>08102993569</t>
  </si>
  <si>
    <t>ibiyooyeaderemilekun@yahoo.com</t>
  </si>
  <si>
    <t>Zone 11/12 opposite Akamo block industry, iletuntun area, Ogungbade off new ife road, Ibadan</t>
  </si>
  <si>
    <t>IDOWU FIKAYO</t>
  </si>
  <si>
    <t>09099140400</t>
  </si>
  <si>
    <t>idowufikayo@gmail.com</t>
  </si>
  <si>
    <t>Ogun state</t>
  </si>
  <si>
    <t>IDOWU-AIYE MIRACLE J.</t>
  </si>
  <si>
    <t>08102889640</t>
  </si>
  <si>
    <t>idowuaiyemiracle@gmail.com</t>
  </si>
  <si>
    <t>D2/24, ireakari Estate 2, Akure.</t>
  </si>
  <si>
    <t>IDOWU-BABS TEMILOLUWA</t>
  </si>
  <si>
    <t>08138415008</t>
  </si>
  <si>
    <t>IDRIS LYDIA JESUTOFUNMI</t>
  </si>
  <si>
    <t>08132768218</t>
  </si>
  <si>
    <t>idrislydiatofunmi@gmail.com</t>
  </si>
  <si>
    <t>Dogo, Apata, Ibadan.</t>
  </si>
  <si>
    <t>08139231584</t>
  </si>
  <si>
    <t>IDRIS OYINKANSOLA</t>
  </si>
  <si>
    <t>08109989724</t>
  </si>
  <si>
    <t>idrisoyinkan@gmail.com</t>
  </si>
  <si>
    <t>5, bintilaye, otta, Ogun state.</t>
  </si>
  <si>
    <t>08028414141</t>
  </si>
  <si>
    <t>IGBALAJOBI OLUTUNBOSUN</t>
  </si>
  <si>
    <t>09098294484</t>
  </si>
  <si>
    <t>IGE MICHAEL OLUWAFEMI</t>
  </si>
  <si>
    <t>07065494546</t>
  </si>
  <si>
    <t>igemichael2@gmail.com</t>
  </si>
  <si>
    <t>1, akintade fadipe strret, heritage estate, Akute, Ogun state.</t>
  </si>
  <si>
    <t>08038612170</t>
  </si>
  <si>
    <t>IKUEGBUWA OLUWAGBEMISOLA</t>
  </si>
  <si>
    <t>08067301593</t>
  </si>
  <si>
    <t>IKUEROWO AYOMIDE JOSHUA</t>
  </si>
  <si>
    <t>08136143630</t>
  </si>
  <si>
    <t>ikuerowojoshua@gmail.com</t>
  </si>
  <si>
    <t>Aladesaye crescent, oda Community estate, oda town, Akure.</t>
  </si>
  <si>
    <t>ITA OLAOYE OLUWATUNMISE</t>
  </si>
  <si>
    <t>08163592568</t>
  </si>
  <si>
    <t>IWASOKUN BLESSING O.</t>
  </si>
  <si>
    <t>08133365605</t>
  </si>
  <si>
    <t>iwasokunblessing2018@gmail.com</t>
  </si>
  <si>
    <t>08130622747</t>
  </si>
  <si>
    <t>IYIOLA GBOLAHAN O.</t>
  </si>
  <si>
    <t>08148645396</t>
  </si>
  <si>
    <t>gbolahaniyiola@gmail.com</t>
  </si>
  <si>
    <t>Ado-Ekiti</t>
  </si>
  <si>
    <t>IZUCHUKWU VICTOR</t>
  </si>
  <si>
    <t>aham02@gmail.com</t>
  </si>
  <si>
    <t>Favour street,off onaopemipo street, Okitipupa, Ondo State.</t>
  </si>
  <si>
    <t>JAYEOLA DAMILOLA  HANNAH</t>
  </si>
  <si>
    <t>07034698174</t>
  </si>
  <si>
    <t>jayeoladamilola21@gmail.com</t>
  </si>
  <si>
    <t>Elejatutu, owode ede, Osun state.</t>
  </si>
  <si>
    <t>08090902290</t>
  </si>
  <si>
    <t>JOSEPH JAMES KAYODE</t>
  </si>
  <si>
    <t>07067810860</t>
  </si>
  <si>
    <t>jameskayode39@gmail.com</t>
  </si>
  <si>
    <t>Ala close, Akure.</t>
  </si>
  <si>
    <t>09030314536</t>
  </si>
  <si>
    <t>JOSEPH OMOTOLANI SEUNFUNMI</t>
  </si>
  <si>
    <t>07016153717, 08149508144</t>
  </si>
  <si>
    <t>josephomotolani@gmail.com</t>
  </si>
  <si>
    <t>3, ilemo street, obaile, Akure.</t>
  </si>
  <si>
    <t>08061144660</t>
  </si>
  <si>
    <t>JUDAH BOLUWATIFE AKINWALE</t>
  </si>
  <si>
    <t>07017469176</t>
  </si>
  <si>
    <t>judahakinwale@gmail.com</t>
  </si>
  <si>
    <t>Block 1, Plot 6 Estate 12, Redemption camp, Ogun state.</t>
  </si>
  <si>
    <t>JUDE CHIDI EMMANUEL</t>
  </si>
  <si>
    <t>08093471510</t>
  </si>
  <si>
    <t>Edo state.</t>
  </si>
  <si>
    <t>KAFARU SIMILEOLUWA</t>
  </si>
  <si>
    <t>MCS</t>
  </si>
  <si>
    <t>08032900274</t>
  </si>
  <si>
    <t>kafarusimileoluwa@gmail.com</t>
  </si>
  <si>
    <t>08057897552</t>
  </si>
  <si>
    <t>KARIM IFEDAYO</t>
  </si>
  <si>
    <t>08054075490</t>
  </si>
  <si>
    <t>karimjnr@gmail.com</t>
  </si>
  <si>
    <t>26, bank road, ijanikin, Lagos State.</t>
  </si>
  <si>
    <t>KARUNIWI SAMUEL W.</t>
  </si>
  <si>
    <t>09029639539</t>
  </si>
  <si>
    <t>karunwisamuel@gmail.com</t>
  </si>
  <si>
    <t>08052653900</t>
  </si>
  <si>
    <t>KIKIOWO IYADUNNI OLUWATOBILOBA</t>
  </si>
  <si>
    <t>08140147440</t>
  </si>
  <si>
    <t>kikiowooluwatobiloba@gmail.com</t>
  </si>
  <si>
    <t>Calvary nursery and primary school, oda road, Akure.</t>
  </si>
  <si>
    <t>080682852226</t>
  </si>
  <si>
    <t>KING OLUWAPELUMI ESTHER</t>
  </si>
  <si>
    <t>08163648568,08174548763</t>
  </si>
  <si>
    <t>Hadassahtopaz@gmail.com</t>
  </si>
  <si>
    <t>32, gbagada road, Bariga, Lagos.</t>
  </si>
  <si>
    <t xml:space="preserve">KOLAWOLE DAVID </t>
  </si>
  <si>
    <t>08168841244</t>
  </si>
  <si>
    <t>adnutdavid@gmail.com</t>
  </si>
  <si>
    <t>Orin-Ekiti</t>
  </si>
  <si>
    <t>08132384704</t>
  </si>
  <si>
    <t>KOMOLAFE OLUWATONI</t>
  </si>
  <si>
    <t>08065892432</t>
  </si>
  <si>
    <t>KOSOMOLATE OLAMIDE SAMUEL</t>
  </si>
  <si>
    <t>08169024288</t>
  </si>
  <si>
    <t>olamidesamuel001@gmail.com</t>
  </si>
  <si>
    <t>Dutse, Abuja.</t>
  </si>
  <si>
    <t>KUSHIMO OLUWAFEMI SUNDAY</t>
  </si>
  <si>
    <t>08151165625</t>
  </si>
  <si>
    <t>kushmania6@gmail.com</t>
  </si>
  <si>
    <t>32, Oduyemi street, Anifowose, Ikeja Lagos.</t>
  </si>
  <si>
    <t>LASISI OLUWADAMILARE</t>
  </si>
  <si>
    <t>09037949027</t>
  </si>
  <si>
    <t>lasisi.oluwadamilare@yahoo.com</t>
  </si>
  <si>
    <t>LAWAL AYOMIPOSI</t>
  </si>
  <si>
    <t>08135306714</t>
  </si>
  <si>
    <t>ayomiposi103@gmail.com</t>
  </si>
  <si>
    <t>08037082088</t>
  </si>
  <si>
    <t>LAWANI PROGRESS A.</t>
  </si>
  <si>
    <t>08165032263</t>
  </si>
  <si>
    <t>lawaniprogress@gmail.com</t>
  </si>
  <si>
    <t>08036131935</t>
  </si>
  <si>
    <t>MAJIYAGBE ABIODUN AZEEZ</t>
  </si>
  <si>
    <t>07064447290.08039715955</t>
  </si>
  <si>
    <t>majiyagbeabiodun001@gmail.com</t>
  </si>
  <si>
    <t>A4/50, Federal Housing Estate Olomore, Abeokuta, Ogun state.</t>
  </si>
  <si>
    <t>MATTHEW IJEOMA ANITA</t>
  </si>
  <si>
    <t>07069724145</t>
  </si>
  <si>
    <t>matthewijeoma301@gmail.com</t>
  </si>
  <si>
    <t>18 Karimu street, kirikiri town, Apapa Lagos.</t>
  </si>
  <si>
    <t>07061000443</t>
  </si>
  <si>
    <t>MEGBODOFO MOTUNRAYO J</t>
  </si>
  <si>
    <t>08165656129</t>
  </si>
  <si>
    <t>MOBUSE JOHN L.</t>
  </si>
  <si>
    <t>07033973326</t>
  </si>
  <si>
    <t>johnmobuse@gmail.com</t>
  </si>
  <si>
    <t>52B, Temenu street, Okitiputa, Ondo State.</t>
  </si>
  <si>
    <t>MOSES GOODNESS</t>
  </si>
  <si>
    <t>08129299858</t>
  </si>
  <si>
    <t>NWEKE JOSHUA</t>
  </si>
  <si>
    <t>jnweke54@gmail.com</t>
  </si>
  <si>
    <t>Lagos.</t>
  </si>
  <si>
    <t>08027580471</t>
  </si>
  <si>
    <t>OBAFEMI OLAOLUWA STEPHEN</t>
  </si>
  <si>
    <t>08109605199,07057271398</t>
  </si>
  <si>
    <t>shawbrothers13@gmail.com</t>
  </si>
  <si>
    <t>7, Ibasha bankole road, Magboro, Ogun state.</t>
  </si>
  <si>
    <t>08023334848</t>
  </si>
  <si>
    <t>OBANLA MOBOLAJI ESTHER</t>
  </si>
  <si>
    <t>07084780253</t>
  </si>
  <si>
    <t>obanlaesther4@gmail.com</t>
  </si>
  <si>
    <t>Mopol road, Iyana iyesi, Sango.</t>
  </si>
  <si>
    <t>ODEMAKINDE OLUWATOYOSI</t>
  </si>
  <si>
    <t>08132596343</t>
  </si>
  <si>
    <t>ODU MAYOWA JACOB</t>
  </si>
  <si>
    <t>08142597169</t>
  </si>
  <si>
    <t>0ddumeryurwah@gmail.com</t>
  </si>
  <si>
    <t>Angwa Dallatu Starlight, Madalla-Niger State.</t>
  </si>
  <si>
    <t>ODUNSI TIMILEHIN</t>
  </si>
  <si>
    <t>07064375775</t>
  </si>
  <si>
    <t xml:space="preserve">OGBEIWI SEUN EMMANUEL </t>
  </si>
  <si>
    <t>07039180356, 07085234699</t>
  </si>
  <si>
    <t>ogbeiwi97@gmail.com</t>
  </si>
  <si>
    <t>Black 7h, Igbo Olomu road, via isawo, Agric, ikorodu Lagos.</t>
  </si>
  <si>
    <t>08033770341</t>
  </si>
  <si>
    <t>OGBONNAYA CHIDIEBERE CHRISTY</t>
  </si>
  <si>
    <t>07065999163</t>
  </si>
  <si>
    <t>ogbonnayachristianah@gmail.com</t>
  </si>
  <si>
    <t>Ao4 ifosan, Ilesa, Osun state.</t>
  </si>
  <si>
    <t>OGENDENGBE SUSAN</t>
  </si>
  <si>
    <t>08167804190</t>
  </si>
  <si>
    <t>OGUNDAIRO BABAJIDE MAYOWA</t>
  </si>
  <si>
    <t>08167848451</t>
  </si>
  <si>
    <t>Ogundairob@gmail.com</t>
  </si>
  <si>
    <t>Ppb21 ilaje ilesha, Osun state</t>
  </si>
  <si>
    <t>OGUNDAIRO FOLARIN A.</t>
  </si>
  <si>
    <t>08162863303</t>
  </si>
  <si>
    <t>OGUNDARI OLAYEMI PETER</t>
  </si>
  <si>
    <t>08101617611</t>
  </si>
  <si>
    <t>olayemipeter2016@gmail.com</t>
  </si>
  <si>
    <t>No 1, New Grace street, akure.</t>
  </si>
  <si>
    <t>OGUNDEIN AYOMIDE TOSIN</t>
  </si>
  <si>
    <t>07032236823</t>
  </si>
  <si>
    <t>ogundeinayomidetosin@gmail.com</t>
  </si>
  <si>
    <t>Ishara, Ogun state.</t>
  </si>
  <si>
    <t>OGUNDOLAPO OLADIPUPO</t>
  </si>
  <si>
    <t>08144566877</t>
  </si>
  <si>
    <t>ogundolapooladipupo@gmail.com</t>
  </si>
  <si>
    <t>12 linkinyo boulevard alagbaka extension, Akure Ondo state.</t>
  </si>
  <si>
    <t>OGUNGBE MICHAEL AYOMIDE</t>
  </si>
  <si>
    <t>08114301280</t>
  </si>
  <si>
    <t>michealayo632@gmail.com</t>
  </si>
  <si>
    <t>Bogije, along ibeju-lekki,Lagos.</t>
  </si>
  <si>
    <t>OGUNLADE OLUWASAYO</t>
  </si>
  <si>
    <t>08163399714</t>
  </si>
  <si>
    <t>ogunladeoluwasayo@gmail.com</t>
  </si>
  <si>
    <t xml:space="preserve">OGUNREMI GRACE OLUWAFEYIKEMI </t>
  </si>
  <si>
    <t>08167430180, 07068347515</t>
  </si>
  <si>
    <t>feyi96.og@gmail.com</t>
  </si>
  <si>
    <t>SSQ 1387, The Polytechnic Ibadan.</t>
  </si>
  <si>
    <t>08136768376</t>
  </si>
  <si>
    <t>OGUNRUKU ESTHER O.</t>
  </si>
  <si>
    <t>08069172851</t>
  </si>
  <si>
    <t>ogunrukuestheroyindamola23@gmail.com</t>
  </si>
  <si>
    <t>BlockL, plot20&amp;21 G.R.A behind Nigeria Immigration Office, Ado-Ekiti, Ekiti state</t>
  </si>
  <si>
    <t>OGUNSINA ISAAC O.</t>
  </si>
  <si>
    <t>ogunsinaisaac@gmail.com</t>
  </si>
  <si>
    <t>Aule, Akure, Ondo state.</t>
  </si>
  <si>
    <t>OGUNTAYO ESTHER OLUWATOYIN</t>
  </si>
  <si>
    <t>09039213918</t>
  </si>
  <si>
    <t>hesstahr@gmail.com</t>
  </si>
  <si>
    <t>No 3,road 2, oritamerin elebu,oluyole extension</t>
  </si>
  <si>
    <t>OJINI MICHEAL</t>
  </si>
  <si>
    <t>08101108618</t>
  </si>
  <si>
    <t>OJO BOLA DEBORAH</t>
  </si>
  <si>
    <t>08102868605</t>
  </si>
  <si>
    <t>ojobola112@gmail.com</t>
  </si>
  <si>
    <t>81, Sunday busstop,ijoka, Akure.</t>
  </si>
  <si>
    <t>08161231783</t>
  </si>
  <si>
    <t>OJO JOSHUA BUKOLA</t>
  </si>
  <si>
    <t>08149605366</t>
  </si>
  <si>
    <t>ojojoshua050@gmail.com</t>
  </si>
  <si>
    <t>Owode, Oyo state</t>
  </si>
  <si>
    <t>08111140214</t>
  </si>
  <si>
    <t>OJO OLALEKAN</t>
  </si>
  <si>
    <t>08104444512</t>
  </si>
  <si>
    <t>cephaxokeowo@gmail.com</t>
  </si>
  <si>
    <t>OJO OPEYEMI</t>
  </si>
  <si>
    <t>07064674825</t>
  </si>
  <si>
    <t>ojoopeyemi80@gmail.com</t>
  </si>
  <si>
    <t>Olatuyi, Akure.</t>
  </si>
  <si>
    <t>OJO PRECIOUS ADEFUNKE</t>
  </si>
  <si>
    <t>07065572128</t>
  </si>
  <si>
    <t>deyfunky26@gmail.com</t>
  </si>
  <si>
    <t>Esa-tuntun, Osogbo, Osun state</t>
  </si>
  <si>
    <t>08033581123</t>
  </si>
  <si>
    <t>OJOMO AANUOLUWAPO ADERONKE</t>
  </si>
  <si>
    <t>08167182736</t>
  </si>
  <si>
    <t>damilolaojomo6@gmail.com</t>
  </si>
  <si>
    <t>Blk E plot 8, state housing, Ado-Ekiti</t>
  </si>
  <si>
    <t>08164499513</t>
  </si>
  <si>
    <t>OKE TAIWO OLUWATOSIN</t>
  </si>
  <si>
    <t>07067849802</t>
  </si>
  <si>
    <t>oluwatosintaiwo@gmail.com</t>
  </si>
  <si>
    <t>Oke-Osun, Igbara-Odo Ekiti, Ekiti State.</t>
  </si>
  <si>
    <t>09077365240</t>
  </si>
  <si>
    <t>OKEOWO GBENGA PAUL</t>
  </si>
  <si>
    <t>08143234812</t>
  </si>
  <si>
    <t>okeowopaul18@gmail.com</t>
  </si>
  <si>
    <t>blk46, plot 1132 F.H.E Aboru, Iyana-Ipaja, Lagos.</t>
  </si>
  <si>
    <t>OKEOWO PETER BOLUWATIFE</t>
  </si>
  <si>
    <t>07061331522</t>
  </si>
  <si>
    <t>Lag/ Abj</t>
  </si>
  <si>
    <t>OKEOWO TAIWO</t>
  </si>
  <si>
    <t>07019759235</t>
  </si>
  <si>
    <t>OKWWEI LAWRENCE KING</t>
  </si>
  <si>
    <t>08141666553</t>
  </si>
  <si>
    <t>lawlyking@gmail.com</t>
  </si>
  <si>
    <t>Ajah Lagos.</t>
  </si>
  <si>
    <t xml:space="preserve">OLADEJO COMFORT ODUNAYO </t>
  </si>
  <si>
    <t>07062711515</t>
  </si>
  <si>
    <t>comfortoladejo@rocketmail.com</t>
  </si>
  <si>
    <t>Ilesa, Osun state.</t>
  </si>
  <si>
    <t>07065852675</t>
  </si>
  <si>
    <t>OLADIPO SEUN FESTUS</t>
  </si>
  <si>
    <t>08123056208</t>
  </si>
  <si>
    <t>OLADIPUPO ISRAEL JESUJUWONLO</t>
  </si>
  <si>
    <t>08087150900</t>
  </si>
  <si>
    <t>oladreal18@gmail.com</t>
  </si>
  <si>
    <t>Lane 6, dalute, Ibadan</t>
  </si>
  <si>
    <t>08032524582</t>
  </si>
  <si>
    <t>OLADIPUPO JOSEPHINE A</t>
  </si>
  <si>
    <t>08139544750</t>
  </si>
  <si>
    <t>Josphien_roxie@yahoo.com</t>
  </si>
  <si>
    <t>07057723760</t>
  </si>
  <si>
    <t>OLAGBAMIDE TAIWO S</t>
  </si>
  <si>
    <t>08149211675</t>
  </si>
  <si>
    <t>festus2905@gmail.com</t>
  </si>
  <si>
    <t>Badagry, Lagos</t>
  </si>
  <si>
    <t>08023537275</t>
  </si>
  <si>
    <t>OLAGOKE OLAMIDUN SARAH</t>
  </si>
  <si>
    <t>07068456673</t>
  </si>
  <si>
    <t>olagokeolamidun-sarah@yahoo.com</t>
  </si>
  <si>
    <t>18, nimota Taiwo street, ewu elepe, Ikorodu Lagos state.</t>
  </si>
  <si>
    <t>09034777080</t>
  </si>
  <si>
    <t>OLAMUYIWA BOLAJI</t>
  </si>
  <si>
    <t>08065507026</t>
  </si>
  <si>
    <t>OLANIYAN STEPHEN OYESIJI</t>
  </si>
  <si>
    <t>08081063852</t>
  </si>
  <si>
    <t>stephvo97@gmail.com</t>
  </si>
  <si>
    <t>383 Unity estate, ladegboye, ikorodu, Lagos state.</t>
  </si>
  <si>
    <t>07062955588</t>
  </si>
  <si>
    <t>OLANREWAJU OLUSOLA MATTHEW</t>
  </si>
  <si>
    <t>08160632500</t>
  </si>
  <si>
    <t>olanrewajuolusola@gmail.com</t>
  </si>
  <si>
    <t>Zone 5, capital road, Oshogbo</t>
  </si>
  <si>
    <t>07061949447</t>
  </si>
  <si>
    <t>OLANREWAJU TOBI ENOCH</t>
  </si>
  <si>
    <t>07039897806</t>
  </si>
  <si>
    <t>enochbest@gmail.com</t>
  </si>
  <si>
    <t>No14, ifesowapo street, old ogun radio, off Adetoro road, Abeokuta, Ogun State.</t>
  </si>
  <si>
    <t>08034359032</t>
  </si>
  <si>
    <t xml:space="preserve">OLAOJUBU JOSHUA OLAWALE </t>
  </si>
  <si>
    <t>08186451807</t>
  </si>
  <si>
    <t>olaojububj@yahoo.com</t>
  </si>
  <si>
    <t>4, Alhaja White Street, off magbo road, ogijo.</t>
  </si>
  <si>
    <t>08186296107</t>
  </si>
  <si>
    <t xml:space="preserve">OLAOLUWA OLUWASANMI JOSEPH </t>
  </si>
  <si>
    <t>08133066262</t>
  </si>
  <si>
    <t>OLAOSEBIKAN EMMANUEL</t>
  </si>
  <si>
    <t>09033103804</t>
  </si>
  <si>
    <t>manuelola6@gmail.com</t>
  </si>
  <si>
    <t>Old Living Faith road, Lokongoma, Lokoja, Kogi state.</t>
  </si>
  <si>
    <t>08034096690</t>
  </si>
  <si>
    <t>OLAOYE OLUWATUNMISE</t>
  </si>
  <si>
    <t>081635925681</t>
  </si>
  <si>
    <t>yhuppy1@gmail.com</t>
  </si>
  <si>
    <t>OLAPOJU EMMANUEL</t>
  </si>
  <si>
    <t>09071907591</t>
  </si>
  <si>
    <t>emmanuelolapoju01@gmail.com</t>
  </si>
  <si>
    <t>08184571115</t>
  </si>
  <si>
    <t>OLASANMI OLAYINKA ADEBOYE</t>
  </si>
  <si>
    <t>07030429334, 07061511044</t>
  </si>
  <si>
    <t>yaphaoolasanmi93@gmail.com</t>
  </si>
  <si>
    <t>Ifewara, osun state</t>
  </si>
  <si>
    <t>08132648532</t>
  </si>
  <si>
    <t>OLATIDOYE DENNIS ABIODUN</t>
  </si>
  <si>
    <t>08147390064</t>
  </si>
  <si>
    <t>Olatidoyedennis@gmail.com</t>
  </si>
  <si>
    <t>16, oduwole street, iju, Lagos.</t>
  </si>
  <si>
    <t>OLATUJA OLUWASEGUN</t>
  </si>
  <si>
    <t>08168032795</t>
  </si>
  <si>
    <t>OLAWOLU OLUWAWAIREFUNMI</t>
  </si>
  <si>
    <t>08123397703</t>
  </si>
  <si>
    <t>waireolawolu@gmail.com</t>
  </si>
  <si>
    <t>7/8 Lt. Col Anifiowose estate, Owo.</t>
  </si>
  <si>
    <t>08034290788</t>
  </si>
  <si>
    <t>OLAWUYI SAMUEL</t>
  </si>
  <si>
    <t>08031174163</t>
  </si>
  <si>
    <t>olawuyisamuel27@yahoo.com</t>
  </si>
  <si>
    <t>No 7, zone D, ilero Odo-Ona elewe, Orita Ibadan,Oyo state.</t>
  </si>
  <si>
    <t>OLAYEMI OLAGUNJU OLAWUMI</t>
  </si>
  <si>
    <t>07066486975</t>
  </si>
  <si>
    <t>Olasco27@gmail.com</t>
  </si>
  <si>
    <t>100, ijesa isu road, Ikole Ekiti.</t>
  </si>
  <si>
    <t>OLOGUN DANIEL O.</t>
  </si>
  <si>
    <t>08051182971</t>
  </si>
  <si>
    <t>ologundaniel@yahoo.com</t>
  </si>
  <si>
    <t>OLOKU BOLAJI</t>
  </si>
  <si>
    <t>07069693361</t>
  </si>
  <si>
    <t>bjoloku@gmail.com</t>
  </si>
  <si>
    <t>No 19c, Obadesida road, Akure, Ondo state.</t>
  </si>
  <si>
    <t>OLONIMOYO ESTHER ATINUKE</t>
  </si>
  <si>
    <t>08185756367, 08136849893</t>
  </si>
  <si>
    <t>estherolonimoyo@gmail.com</t>
  </si>
  <si>
    <t>Edo lodge,Akure, Ondo state.</t>
  </si>
  <si>
    <t>08060763351</t>
  </si>
  <si>
    <t>OLOOKU FAVOUR</t>
  </si>
  <si>
    <t>09055702283, 08106145608</t>
  </si>
  <si>
    <t>Olookufavour1@gmail.com</t>
  </si>
  <si>
    <t>OLORUNSAYE OLASUNKANMI</t>
  </si>
  <si>
    <t>08105405301</t>
  </si>
  <si>
    <t>olorunsayeenny@gmail.com</t>
  </si>
  <si>
    <t>Olunlade, Ilorin, Kwara state.</t>
  </si>
  <si>
    <t>08036450303</t>
  </si>
  <si>
    <t>OLORUNSOLA IBUKUN ISAIAH</t>
  </si>
  <si>
    <t>08165341572</t>
  </si>
  <si>
    <t>olorunsolaibukunisaiah@yahoo.com</t>
  </si>
  <si>
    <t>Okitipupa, Ondo state.</t>
  </si>
  <si>
    <t>07067345968</t>
  </si>
  <si>
    <t>OLORUNSOLA OLAWALE</t>
  </si>
  <si>
    <t>07038184629, 09058687118</t>
  </si>
  <si>
    <t>olawaleforever@yhoo.com</t>
  </si>
  <si>
    <t>No 5, faparusi layout, off ijoka road, Akure, Ondo state.</t>
  </si>
  <si>
    <t>08038382942</t>
  </si>
  <si>
    <t>OLOYE OLUWATOMI DAVID</t>
  </si>
  <si>
    <t>09094570465</t>
  </si>
  <si>
    <t>OLOYEDE OLUWABUKOLA</t>
  </si>
  <si>
    <t>08139344300</t>
  </si>
  <si>
    <t>bouquijane@yahoo.com</t>
  </si>
  <si>
    <t>Ashiru estate, new ring road Adeoyo, Ibadan.</t>
  </si>
  <si>
    <t>OLUBIYI OLUWATOSIN</t>
  </si>
  <si>
    <t>07065459961</t>
  </si>
  <si>
    <t xml:space="preserve">OLUBOMMO LOVE OLATUNDE </t>
  </si>
  <si>
    <t>07018286355, 08165109174</t>
  </si>
  <si>
    <t>loveolubummo4@yahoo.com</t>
  </si>
  <si>
    <t>No 1, atalefo street,off eweka road, iloube filling station,off auchi express way, Benin city, Edo state.</t>
  </si>
  <si>
    <t>OLUDIMU OLUWATOBI E.</t>
  </si>
  <si>
    <t>08069696617</t>
  </si>
  <si>
    <t>oludimu.tobi@gmail.com</t>
  </si>
  <si>
    <t>No 1, Akenzua street, off textile mill road,Obe Benin city, Edo state</t>
  </si>
  <si>
    <t>08067752567</t>
  </si>
  <si>
    <t>OLUFEMI AYOMIDOTUN ISAIAH</t>
  </si>
  <si>
    <t>08102737427</t>
  </si>
  <si>
    <t>ophems@gmail.com</t>
  </si>
  <si>
    <t>4, alafia close, monijesu bus-stop, soka, Ibadan.</t>
  </si>
  <si>
    <t>OLUFEMI SEGUN S.</t>
  </si>
  <si>
    <t>08114111503</t>
  </si>
  <si>
    <t>OLUGBAMILA OLAMIDE</t>
  </si>
  <si>
    <t>08136457224</t>
  </si>
  <si>
    <t>OLUGBARO CHARLES MONJOLA</t>
  </si>
  <si>
    <t>08188907434</t>
  </si>
  <si>
    <t>cmonjola@gmail.com</t>
  </si>
  <si>
    <t>5, Olaoluwa Ige street, Ayanusi estate, Ikorodu Lagos.</t>
  </si>
  <si>
    <t>08023213318</t>
  </si>
  <si>
    <t>OLUGBENGA OKANREDE</t>
  </si>
  <si>
    <t>08088031224</t>
  </si>
  <si>
    <t>olugbengaokanrede@gmail.com</t>
  </si>
  <si>
    <t>OLUJI GLADYS JESUTOFUNMI</t>
  </si>
  <si>
    <t>08102952008</t>
  </si>
  <si>
    <t xml:space="preserve">20TH </t>
  </si>
  <si>
    <t>olujigladys12@gmail.com</t>
  </si>
  <si>
    <t>No 3, Ajobo village, Off Arulogun road, Ojoo, Ibadan.</t>
  </si>
  <si>
    <t>OLUJOBA GBENGA OLANREWAJU</t>
  </si>
  <si>
    <t>07035617005</t>
  </si>
  <si>
    <t>olaolugbenga@gmail.com</t>
  </si>
  <si>
    <t>22, Goshen Quarters, ofatedo, Oshogbo, Osun State.</t>
  </si>
  <si>
    <t>OLUKOLATIMI OLUWASANMILORE O.</t>
  </si>
  <si>
    <t>07068354873, 08105425840</t>
  </si>
  <si>
    <t>tsticksluv2real@gmail.com</t>
  </si>
  <si>
    <t>Paradox road, adjacent paradox hotel, off ikiri road, Omoku, Rivers state.</t>
  </si>
  <si>
    <t>OLUKUEWU OLUWADAMINIDE D.</t>
  </si>
  <si>
    <t>08165596005</t>
  </si>
  <si>
    <t>olukuewuadekunle@gmail.com</t>
  </si>
  <si>
    <t>Km7, adegbayi CELICA, ifesowapo area, sone 9,  Ibadan-Ife exp. Way, Oyo state</t>
  </si>
  <si>
    <t>08030465716</t>
  </si>
  <si>
    <t>OLULEYE VICTOR AYOKUNLE</t>
  </si>
  <si>
    <t>08164018719</t>
  </si>
  <si>
    <t>OLUREMI OLUWAKEMI CHRISTIANA</t>
  </si>
  <si>
    <t>08141966704</t>
  </si>
  <si>
    <t>OLUSA CHRISTOPHER BAYODE</t>
  </si>
  <si>
    <t>07067270347</t>
  </si>
  <si>
    <t>bayodeolusa@gmail.com</t>
  </si>
  <si>
    <t>Akure.</t>
  </si>
  <si>
    <t>OLUSOJI SARAH DAMILOLA</t>
  </si>
  <si>
    <t>08100771757</t>
  </si>
  <si>
    <t>olusojidamilola20@gmail.com</t>
  </si>
  <si>
    <t>6, loriebi street ijeododo, ijegun Lagos State.</t>
  </si>
  <si>
    <t>OLUWADAMISI ROSELINE</t>
  </si>
  <si>
    <t>08136843422</t>
  </si>
  <si>
    <t>roselinedamisi@gmail.com</t>
  </si>
  <si>
    <t>Osun state</t>
  </si>
  <si>
    <t>08132149061</t>
  </si>
  <si>
    <t>OLUWANIYI AANUOLUWAPO DORCAS</t>
  </si>
  <si>
    <t>07062719870</t>
  </si>
  <si>
    <t>OLUWOLE JOHN OLUWASEUN</t>
  </si>
  <si>
    <t>07060664592, 08168965207</t>
  </si>
  <si>
    <t>jonerryjoe@gmail.com</t>
  </si>
  <si>
    <t>OMALE SAMSON G</t>
  </si>
  <si>
    <t>08113242158</t>
  </si>
  <si>
    <t>omalesamson123@gmail.com</t>
  </si>
  <si>
    <t>Matthew street,pero, Agege, Lagos.</t>
  </si>
  <si>
    <t>0818883200</t>
  </si>
  <si>
    <t>OMINIRAN EMMANUEL</t>
  </si>
  <si>
    <t>08167304677</t>
  </si>
  <si>
    <t>OMOKEHINDE TEMITOPE B</t>
  </si>
  <si>
    <t>07024738245</t>
  </si>
  <si>
    <t>omokinde2018@gmail.com</t>
  </si>
  <si>
    <t>Idanre, Ondo State.</t>
  </si>
  <si>
    <t>OMOTAYO OLUWAFEMI</t>
  </si>
  <si>
    <t>08146208455</t>
  </si>
  <si>
    <t>OMOTOSO TOMIWA</t>
  </si>
  <si>
    <t>08127685543, 07064352242</t>
  </si>
  <si>
    <t>tomiwa@theonlineagent.net</t>
  </si>
  <si>
    <t>OMOYAJOWO IBIJOKE T</t>
  </si>
  <si>
    <t>08169202810</t>
  </si>
  <si>
    <t>DEEC</t>
  </si>
  <si>
    <t>Ajebamidele street, Ado-Ekiti</t>
  </si>
  <si>
    <t>08067099004</t>
  </si>
  <si>
    <t>ONADEKO OPEYEMI</t>
  </si>
  <si>
    <t>08160572408</t>
  </si>
  <si>
    <t>onadeko@gmail.com</t>
  </si>
  <si>
    <t>1, Ogo Oluwa street, oke-ira, Ogba, Lagos state</t>
  </si>
  <si>
    <t>08052860384</t>
  </si>
  <si>
    <t xml:space="preserve">ONUOHA ABIODUN </t>
  </si>
  <si>
    <t>07061043934</t>
  </si>
  <si>
    <t>ORAEGBU AYOMIDE JOSHUA</t>
  </si>
  <si>
    <t>08127269312</t>
  </si>
  <si>
    <t>oraegbuayomide10@gmail.com</t>
  </si>
  <si>
    <t>5,Adeyemo Alakija street, Victoria Island, Lagos.</t>
  </si>
  <si>
    <t>OSAYINPEJU RAYMOND A.</t>
  </si>
  <si>
    <t>08170392983</t>
  </si>
  <si>
    <t>OSEGHALE JOEL ABAYOMI</t>
  </si>
  <si>
    <t>09076383978, 08136305584</t>
  </si>
  <si>
    <t>oseghalejoel@gmail.com</t>
  </si>
  <si>
    <t>Alomaja, idi ayunre close, Ibadan, Oyo state.</t>
  </si>
  <si>
    <t>08065886225</t>
  </si>
  <si>
    <t>OSO GBENGA D</t>
  </si>
  <si>
    <t>08061271319</t>
  </si>
  <si>
    <t>OTITONAYE AYOYINKA A.</t>
  </si>
  <si>
    <t>08142851237</t>
  </si>
  <si>
    <t>aoclassic@gmail.com</t>
  </si>
  <si>
    <t>OWOJUYIGBE AYOBAMI S.</t>
  </si>
  <si>
    <t>08164848242</t>
  </si>
  <si>
    <t>samleyjackie@gmail.com</t>
  </si>
  <si>
    <t>K30,okenisa street, ijebu-ijesa, Osun state.</t>
  </si>
  <si>
    <t>08032109840</t>
  </si>
  <si>
    <t>OWOLABI EMMANUEL OLUWAFEMI</t>
  </si>
  <si>
    <t>07031033096</t>
  </si>
  <si>
    <t>emmanuelowolabi123@gmail.com</t>
  </si>
  <si>
    <t>08103263492</t>
  </si>
  <si>
    <t xml:space="preserve">OYEDOKUN TEMITOPE </t>
  </si>
  <si>
    <t>08186801274</t>
  </si>
  <si>
    <t>oyedokun_temitope01@yahoo.com</t>
  </si>
  <si>
    <t>Ifako Ijaiye, Lagos.</t>
  </si>
  <si>
    <t>08180086297</t>
  </si>
  <si>
    <t>OYENIGBEHIN MOTUNRAYO</t>
  </si>
  <si>
    <t>09093594442</t>
  </si>
  <si>
    <t>OYEWUMI OLUSOLA EMMANUEL</t>
  </si>
  <si>
    <t>08030857031</t>
  </si>
  <si>
    <t>olusolaoyewumi@gmail.com</t>
  </si>
  <si>
    <t>Academy dagbana, jikowyi phase 3, Nyanya, Abuja.</t>
  </si>
  <si>
    <t>OYEYEMI TITILOPE MARY</t>
  </si>
  <si>
    <t>08132036539</t>
  </si>
  <si>
    <t>oyeyemititilope23@gmail.com</t>
  </si>
  <si>
    <t>Eleyele, Ibadan.</t>
  </si>
  <si>
    <t>08064852625</t>
  </si>
  <si>
    <t>POPOOLA ADESHINA OLAWUMI</t>
  </si>
  <si>
    <t>07067711510</t>
  </si>
  <si>
    <t>popoolashina57@gmail.com</t>
  </si>
  <si>
    <t>No 5, along ija street, amuludun, omi adio, Ibabdan</t>
  </si>
  <si>
    <t>POPOOLA OLUWASEYI A.</t>
  </si>
  <si>
    <t>08137525011</t>
  </si>
  <si>
    <t>oluwaseyipopoola4@gmail.com</t>
  </si>
  <si>
    <t>B5 10/43 F.H.E Elega, Abk, Ogun State.</t>
  </si>
  <si>
    <t>08138155813</t>
  </si>
  <si>
    <t xml:space="preserve">POROYE OLUWASEUN </t>
  </si>
  <si>
    <t>08148026473</t>
  </si>
  <si>
    <t>poroyeoluwaseun@gmail.com</t>
  </si>
  <si>
    <t>SABEJEJE OLUDOTUN AYOMIDE</t>
  </si>
  <si>
    <t>07037581530</t>
  </si>
  <si>
    <t>sbjjdot@yahoo.com</t>
  </si>
  <si>
    <t>No 3,odosikan street, ile oluji, Ondo.</t>
  </si>
  <si>
    <t>SALAMI BABATUNDE G.</t>
  </si>
  <si>
    <t>09031150519</t>
  </si>
  <si>
    <t>SALIU ADETUTU HEPHZIBAH</t>
  </si>
  <si>
    <t>08164774358</t>
  </si>
  <si>
    <t>adetutumary1@gmail.com</t>
  </si>
  <si>
    <t>22, oluwaseyi street, Agbado yidi bus stop, Ogun state.</t>
  </si>
  <si>
    <t>07067895462</t>
  </si>
  <si>
    <t>SAMUEL JESULOLUWA OMONITAN</t>
  </si>
  <si>
    <t>08100174025</t>
  </si>
  <si>
    <t>omonitansamuel@gmail.com</t>
  </si>
  <si>
    <t>A.G.C 58, Imadin Quarters, Ilesa, Osun state.</t>
  </si>
  <si>
    <t>SANNI KEHINDE OLUSHOLA</t>
  </si>
  <si>
    <t>08169442262</t>
  </si>
  <si>
    <t>olusolakehinde@yahoo.com</t>
  </si>
  <si>
    <t>Futa southgate</t>
  </si>
  <si>
    <t>SHODE OLUSOJI</t>
  </si>
  <si>
    <t>08105222095</t>
  </si>
  <si>
    <t>shodesyi8@gmail.com</t>
  </si>
  <si>
    <t>SIVOWAKU JOHNSON</t>
  </si>
  <si>
    <t>08066305431</t>
  </si>
  <si>
    <t>johnsivoclaire4real@yahoo.com</t>
  </si>
  <si>
    <t>SULE AYODELE</t>
  </si>
  <si>
    <t>07037217413</t>
  </si>
  <si>
    <t>ay4dbest@yahoo.com</t>
  </si>
  <si>
    <t>No 8,odo ijigbo street, Ado-Ekiti</t>
  </si>
  <si>
    <t>08138660648</t>
  </si>
  <si>
    <t>TORVENDA TERDOO E.</t>
  </si>
  <si>
    <t>08089357901</t>
  </si>
  <si>
    <t>UCHENNA JAMES</t>
  </si>
  <si>
    <t>08100427990</t>
  </si>
  <si>
    <t>jamesuchenna777@gmail.com</t>
  </si>
  <si>
    <t>Igasi Avenue, Alagbaka, Akure.</t>
  </si>
  <si>
    <t>VICTOR FAKEYE</t>
  </si>
  <si>
    <t>vikiseun@yahoo.com</t>
  </si>
  <si>
    <t>YUSUF OLUWATOBI</t>
  </si>
  <si>
    <t>08132967748</t>
  </si>
  <si>
    <t>yusufoluwatobi21@gmail.com</t>
  </si>
  <si>
    <t>07012227742</t>
  </si>
  <si>
    <t>YUSUF OPEYEMI</t>
  </si>
  <si>
    <t>08106857634</t>
  </si>
  <si>
    <t>yemquinne247@gmail.com</t>
  </si>
  <si>
    <t>No 4, Bode Faleye street, Akinjagunla Ondo.</t>
  </si>
</sst>
</file>

<file path=xl/styles.xml><?xml version="1.0" encoding="utf-8"?>
<styleSheet xmlns="http://schemas.openxmlformats.org/spreadsheetml/2006/main">
  <numFmts count="2">
    <numFmt numFmtId="164" formatCode="d\-mmm;@"/>
    <numFmt numFmtId="165" formatCode="m/d/yyyy;@"/>
  </numFmts>
  <fonts count="52">
    <font>
      <sz val="11"/>
      <name val="Calibri"/>
    </font>
    <font>
      <sz val="11"/>
      <name val="Calibri"/>
    </font>
    <font>
      <b/>
      <sz val="20"/>
      <color rgb="FF000000"/>
      <name val="Calibri"/>
    </font>
    <font>
      <u/>
      <sz val="11"/>
      <color rgb="FF0000FF"/>
      <name val="Calibri"/>
    </font>
    <font>
      <sz val="12"/>
      <color rgb="FF000000"/>
      <name val="Calibri"/>
    </font>
    <font>
      <sz val="12"/>
      <color rgb="FF000000"/>
      <name val="AR CENA"/>
    </font>
    <font>
      <b/>
      <sz val="12"/>
      <color rgb="FF000000"/>
      <name val="Times New Roman"/>
    </font>
    <font>
      <sz val="11"/>
      <color rgb="FF000000"/>
      <name val="AR CENA"/>
    </font>
    <font>
      <u/>
      <sz val="12"/>
      <color rgb="FF000000"/>
      <name val="AR CENA"/>
    </font>
    <font>
      <u/>
      <sz val="12"/>
      <name val="Copperplate Gothic Bold"/>
    </font>
    <font>
      <b/>
      <sz val="10"/>
      <name val="Calibri"/>
    </font>
    <font>
      <b/>
      <sz val="8"/>
      <name val="Calibri"/>
    </font>
    <font>
      <b/>
      <u/>
      <sz val="11"/>
      <color rgb="FF000000"/>
      <name val="AR CENA"/>
    </font>
    <font>
      <sz val="11"/>
      <color rgb="FF000000"/>
      <name val="Calibri"/>
    </font>
    <font>
      <b/>
      <u/>
      <sz val="12"/>
      <color rgb="FF000000"/>
      <name val="AR CENA"/>
    </font>
    <font>
      <u/>
      <sz val="18"/>
      <color rgb="FF000000"/>
      <name val="AR CENA"/>
    </font>
    <font>
      <sz val="9"/>
      <color rgb="FF000000"/>
      <name val="Calibri"/>
    </font>
    <font>
      <u/>
      <sz val="11"/>
      <color rgb="FF0000FF"/>
      <name val="Calibri"/>
    </font>
    <font>
      <sz val="11"/>
      <color rgb="FF000000"/>
      <name val="Calibri"/>
    </font>
    <font>
      <b/>
      <sz val="14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1"/>
      <color rgb="FF000000"/>
      <name val="AR CENA"/>
    </font>
    <font>
      <b/>
      <sz val="10"/>
      <color rgb="FF000000"/>
      <name val="AR CENA"/>
    </font>
    <font>
      <sz val="10"/>
      <color rgb="FF000000"/>
      <name val="AR CENA"/>
    </font>
    <font>
      <sz val="10"/>
      <color rgb="FF000000"/>
      <name val="AR CENA"/>
    </font>
    <font>
      <sz val="11"/>
      <color rgb="FF000000"/>
      <name val="Calibri"/>
    </font>
    <font>
      <b/>
      <sz val="10"/>
      <color rgb="FF000000"/>
      <name val="AR CENA"/>
    </font>
    <font>
      <b/>
      <sz val="11"/>
      <color rgb="FF000000"/>
      <name val="Calibri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i/>
      <sz val="11"/>
      <color rgb="FF000000"/>
      <name val="Calibri"/>
    </font>
    <font>
      <b/>
      <i/>
      <sz val="10"/>
      <color rgb="FF000000"/>
      <name val="Calibri"/>
    </font>
    <font>
      <sz val="10"/>
      <color rgb="FF000000"/>
      <name val="Calibri"/>
    </font>
    <font>
      <i/>
      <u/>
      <sz val="11"/>
      <color rgb="FF0000FF"/>
      <name val="Calibri"/>
    </font>
    <font>
      <u/>
      <sz val="11"/>
      <color indexed="20"/>
      <name val="Calibri"/>
    </font>
    <font>
      <u/>
      <sz val="10"/>
      <color rgb="FF0000FF"/>
      <name val="Calibri"/>
    </font>
    <font>
      <b/>
      <sz val="12"/>
      <color rgb="FF000000"/>
      <name val="Calibri"/>
    </font>
    <font>
      <b/>
      <sz val="12"/>
      <color rgb="FF000000"/>
      <name val="AR CENA"/>
    </font>
    <font>
      <b/>
      <u val="double"/>
      <sz val="12"/>
      <color rgb="FF000000"/>
      <name val="AR CENA"/>
    </font>
    <font>
      <b/>
      <u val="double"/>
      <sz val="16"/>
      <color rgb="FF000000"/>
      <name val="AR CENA"/>
    </font>
    <font>
      <b/>
      <sz val="10"/>
      <color rgb="FF000000"/>
      <name val="Times New Roman"/>
    </font>
    <font>
      <b/>
      <sz val="11"/>
      <color rgb="FF000000"/>
      <name val="Aharoni"/>
    </font>
    <font>
      <b/>
      <sz val="10"/>
      <color rgb="FF000000"/>
      <name val="Trebuchet MS"/>
    </font>
    <font>
      <sz val="11"/>
      <color rgb="FF000000"/>
      <name val="Calibri"/>
    </font>
    <font>
      <sz val="14"/>
      <color rgb="FF000000"/>
      <name val="Calibri"/>
    </font>
    <font>
      <sz val="28"/>
      <color rgb="FF000000"/>
      <name val="Calibri"/>
    </font>
    <font>
      <sz val="28"/>
      <color rgb="FF000000"/>
      <name val="Algerian"/>
    </font>
    <font>
      <vertAlign val="superscript"/>
      <sz val="9"/>
      <color rgb="FF000000"/>
      <name val="Calibri"/>
    </font>
    <font>
      <b/>
      <vertAlign val="superscript"/>
      <sz val="10"/>
      <name val="Calibri"/>
    </font>
    <font>
      <b/>
      <sz val="28"/>
      <name val="Copperplate Gothic Bold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D99694"/>
      </left>
      <right style="thin">
        <color rgb="FF5181BD"/>
      </right>
      <top style="thin">
        <color rgb="FFD99694"/>
      </top>
      <bottom style="thin">
        <color rgb="FFD99694"/>
      </bottom>
      <diagonal/>
    </border>
    <border>
      <left style="thin">
        <color rgb="FF5181BD"/>
      </left>
      <right style="thin">
        <color rgb="FF5181BD"/>
      </right>
      <top style="thin">
        <color rgb="FFD99694"/>
      </top>
      <bottom style="thin">
        <color rgb="FFD99694"/>
      </bottom>
      <diagonal/>
    </border>
    <border>
      <left style="thin">
        <color rgb="FF5181BD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5181BD"/>
      </left>
      <right style="thin">
        <color rgb="FF5181BD"/>
      </right>
      <top style="thin">
        <color rgb="FF5181BD"/>
      </top>
      <bottom style="thin">
        <color rgb="FF5181BD"/>
      </bottom>
      <diagonal/>
    </border>
    <border>
      <left style="thin">
        <color rgb="FF5181BD"/>
      </left>
      <right style="thin">
        <color rgb="FFD99694"/>
      </right>
      <top style="thin">
        <color rgb="FF5181BD"/>
      </top>
      <bottom style="thin">
        <color rgb="FF5181B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>
      <protection locked="0"/>
    </xf>
  </cellStyleXfs>
  <cellXfs count="209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3" fillId="2" borderId="4" xfId="1" applyFont="1" applyFill="1" applyBorder="1" applyAlignment="1" applyProtection="1"/>
    <xf numFmtId="0" fontId="1" fillId="2" borderId="4" xfId="0" applyFont="1" applyFill="1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/>
    <xf numFmtId="0" fontId="1" fillId="0" borderId="2" xfId="0" applyFont="1" applyBorder="1" applyAlignment="1">
      <alignment horizontal="center"/>
    </xf>
    <xf numFmtId="49" fontId="1" fillId="0" borderId="2" xfId="0" applyNumberFormat="1" applyFont="1" applyBorder="1" applyAlignmen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3" fillId="0" borderId="4" xfId="1" applyFont="1" applyBorder="1" applyAlignment="1" applyProtection="1"/>
    <xf numFmtId="0" fontId="1" fillId="0" borderId="4" xfId="0" applyFont="1" applyBorder="1" applyAlignment="1"/>
    <xf numFmtId="49" fontId="1" fillId="0" borderId="4" xfId="0" applyNumberFormat="1" applyFont="1" applyBorder="1" applyAlignment="1"/>
    <xf numFmtId="0" fontId="1" fillId="2" borderId="2" xfId="0" applyFont="1" applyFill="1" applyBorder="1" applyAlignment="1">
      <alignment horizontal="left" vertical="top"/>
    </xf>
    <xf numFmtId="49" fontId="1" fillId="0" borderId="2" xfId="0" applyNumberFormat="1" applyFont="1" applyBorder="1" applyAlignment="1">
      <alignment horizontal="center"/>
    </xf>
    <xf numFmtId="49" fontId="1" fillId="2" borderId="4" xfId="0" applyNumberFormat="1" applyFont="1" applyFill="1" applyBorder="1" applyAlignment="1"/>
    <xf numFmtId="16" fontId="1" fillId="2" borderId="3" xfId="0" applyNumberFormat="1" applyFont="1" applyFill="1" applyBorder="1" applyAlignment="1">
      <alignment horizontal="center"/>
    </xf>
    <xf numFmtId="16" fontId="3" fillId="2" borderId="4" xfId="1" applyNumberFormat="1" applyFont="1" applyFill="1" applyBorder="1" applyAlignment="1" applyProtection="1"/>
    <xf numFmtId="16" fontId="1" fillId="2" borderId="4" xfId="0" applyNumberFormat="1" applyFont="1" applyFill="1" applyBorder="1" applyAlignment="1"/>
    <xf numFmtId="14" fontId="1" fillId="0" borderId="2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/>
    </xf>
    <xf numFmtId="17" fontId="1" fillId="0" borderId="3" xfId="0" applyNumberFormat="1" applyFont="1" applyBorder="1" applyAlignment="1">
      <alignment horizontal="center"/>
    </xf>
    <xf numFmtId="17" fontId="3" fillId="0" borderId="4" xfId="1" applyNumberFormat="1" applyFont="1" applyBorder="1" applyAlignment="1" applyProtection="1"/>
    <xf numFmtId="17" fontId="1" fillId="0" borderId="4" xfId="0" applyNumberFormat="1" applyFont="1" applyBorder="1" applyAlignment="1"/>
    <xf numFmtId="17" fontId="1" fillId="2" borderId="4" xfId="0" applyNumberFormat="1" applyFont="1" applyFill="1" applyBorder="1" applyAlignment="1"/>
    <xf numFmtId="16" fontId="1" fillId="0" borderId="3" xfId="0" applyNumberFormat="1" applyFont="1" applyBorder="1" applyAlignment="1">
      <alignment horizontal="center"/>
    </xf>
    <xf numFmtId="16" fontId="1" fillId="0" borderId="4" xfId="0" applyNumberFormat="1" applyFont="1" applyBorder="1" applyAlignment="1"/>
    <xf numFmtId="16" fontId="3" fillId="0" borderId="4" xfId="1" applyNumberFormat="1" applyFont="1" applyBorder="1" applyAlignment="1" applyProtection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16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4" xfId="0" applyFont="1" applyFill="1" applyBorder="1" applyAlignment="1">
      <alignment horizontal="left" vertical="top"/>
    </xf>
    <xf numFmtId="49" fontId="1" fillId="0" borderId="4" xfId="0" applyNumberFormat="1" applyFont="1" applyBorder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>
      <alignment horizontal="center" vertical="center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17" fontId="10" fillId="0" borderId="7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7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Fill="1" applyBorder="1" applyAlignment="1">
      <alignment vertical="center" wrapText="1"/>
    </xf>
    <xf numFmtId="17" fontId="10" fillId="0" borderId="7" xfId="0" applyNumberFormat="1" applyFont="1" applyBorder="1" applyAlignment="1">
      <alignment vertical="center" wrapText="1"/>
    </xf>
    <xf numFmtId="16" fontId="10" fillId="0" borderId="7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6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7" fillId="0" borderId="10" xfId="1" applyBorder="1" applyAlignment="1" applyProtection="1">
      <alignment vertical="center" wrapText="1"/>
    </xf>
    <xf numFmtId="0" fontId="18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/>
    <xf numFmtId="0" fontId="21" fillId="0" borderId="11" xfId="0" applyFont="1" applyBorder="1" applyAlignment="1"/>
    <xf numFmtId="16" fontId="21" fillId="0" borderId="11" xfId="0" applyNumberFormat="1" applyFont="1" applyBorder="1" applyAlignment="1">
      <alignment horizontal="right" vertical="top"/>
    </xf>
    <xf numFmtId="16" fontId="13" fillId="0" borderId="11" xfId="0" applyNumberFormat="1" applyFont="1" applyBorder="1" applyAlignment="1"/>
    <xf numFmtId="0" fontId="13" fillId="0" borderId="11" xfId="0" applyFont="1" applyBorder="1" applyAlignment="1">
      <alignment horizontal="right" vertical="top"/>
    </xf>
    <xf numFmtId="0" fontId="13" fillId="0" borderId="11" xfId="0" applyFont="1" applyFill="1" applyBorder="1" applyAlignment="1"/>
    <xf numFmtId="0" fontId="13" fillId="0" borderId="11" xfId="0" applyFont="1" applyFill="1" applyBorder="1" applyAlignment="1">
      <alignment horizontal="right" vertical="top"/>
    </xf>
    <xf numFmtId="0" fontId="22" fillId="0" borderId="0" xfId="0" applyFont="1" applyAlignment="1"/>
    <xf numFmtId="0" fontId="23" fillId="0" borderId="6" xfId="0" applyFont="1" applyBorder="1" applyAlignment="1">
      <alignment horizontal="center" vertical="center" wrapText="1"/>
    </xf>
    <xf numFmtId="0" fontId="23" fillId="0" borderId="9" xfId="0" applyFont="1" applyBorder="1" applyAlignment="1">
      <alignment vertical="center" wrapText="1"/>
    </xf>
    <xf numFmtId="0" fontId="21" fillId="0" borderId="0" xfId="0" applyFont="1" applyAlignment="1"/>
    <xf numFmtId="0" fontId="23" fillId="0" borderId="7" xfId="0" applyFont="1" applyBorder="1" applyAlignment="1">
      <alignment horizontal="center" vertical="center" wrapText="1"/>
    </xf>
    <xf numFmtId="0" fontId="23" fillId="0" borderId="10" xfId="0" applyFont="1" applyBorder="1" applyAlignment="1">
      <alignment vertical="center" wrapText="1"/>
    </xf>
    <xf numFmtId="16" fontId="23" fillId="0" borderId="10" xfId="0" applyNumberFormat="1" applyFont="1" applyBorder="1" applyAlignment="1">
      <alignment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10" xfId="0" applyFont="1" applyBorder="1" applyAlignment="1">
      <alignment vertical="center" wrapText="1"/>
    </xf>
    <xf numFmtId="16" fontId="24" fillId="0" borderId="10" xfId="0" applyNumberFormat="1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16" fontId="13" fillId="0" borderId="0" xfId="0" applyNumberFormat="1" applyFont="1" applyBorder="1" applyAlignment="1">
      <alignment vertical="center" wrapText="1"/>
    </xf>
    <xf numFmtId="16" fontId="21" fillId="0" borderId="0" xfId="0" applyNumberFormat="1" applyFont="1" applyBorder="1" applyAlignment="1">
      <alignment vertical="center" wrapText="1"/>
    </xf>
    <xf numFmtId="0" fontId="25" fillId="0" borderId="10" xfId="0" applyFont="1" applyBorder="1" applyAlignment="1">
      <alignment vertical="center" wrapText="1"/>
    </xf>
    <xf numFmtId="16" fontId="25" fillId="0" borderId="10" xfId="0" applyNumberFormat="1" applyFont="1" applyBorder="1" applyAlignment="1">
      <alignment vertical="center" wrapText="1"/>
    </xf>
    <xf numFmtId="16" fontId="26" fillId="0" borderId="0" xfId="0" applyNumberFormat="1" applyFont="1" applyBorder="1" applyAlignment="1">
      <alignment vertical="center" wrapText="1"/>
    </xf>
    <xf numFmtId="0" fontId="25" fillId="0" borderId="10" xfId="0" applyFont="1" applyBorder="1" applyAlignment="1">
      <alignment horizontal="center" vertical="center" wrapText="1"/>
    </xf>
    <xf numFmtId="16" fontId="25" fillId="0" borderId="10" xfId="0" applyNumberFormat="1" applyFont="1" applyBorder="1" applyAlignment="1">
      <alignment horizontal="center" vertical="center" wrapText="1"/>
    </xf>
    <xf numFmtId="0" fontId="27" fillId="0" borderId="10" xfId="0" applyFont="1" applyBorder="1" applyAlignment="1">
      <alignment vertical="center" wrapText="1"/>
    </xf>
    <xf numFmtId="16" fontId="27" fillId="0" borderId="10" xfId="0" applyNumberFormat="1" applyFont="1" applyBorder="1" applyAlignment="1">
      <alignment vertical="center" wrapText="1"/>
    </xf>
    <xf numFmtId="16" fontId="28" fillId="0" borderId="0" xfId="0" applyNumberFormat="1" applyFont="1" applyBorder="1" applyAlignment="1">
      <alignment vertical="center" wrapText="1"/>
    </xf>
    <xf numFmtId="0" fontId="24" fillId="0" borderId="7" xfId="0" applyFont="1" applyBorder="1" applyAlignment="1">
      <alignment vertical="center" wrapText="1"/>
    </xf>
    <xf numFmtId="16" fontId="26" fillId="0" borderId="0" xfId="0" applyNumberFormat="1" applyFont="1" applyBorder="1" applyAlignment="1">
      <alignment horizontal="center" vertical="center" wrapText="1"/>
    </xf>
    <xf numFmtId="0" fontId="29" fillId="0" borderId="0" xfId="0" applyFont="1" applyAlignment="1"/>
    <xf numFmtId="16" fontId="30" fillId="0" borderId="0" xfId="0" applyNumberFormat="1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7" fillId="0" borderId="0" xfId="0" applyFont="1">
      <alignment vertical="center"/>
    </xf>
    <xf numFmtId="0" fontId="13" fillId="0" borderId="0" xfId="0" applyFont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1" fillId="0" borderId="6" xfId="0" applyFont="1" applyBorder="1" applyAlignment="1"/>
    <xf numFmtId="0" fontId="31" fillId="0" borderId="6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33" fillId="0" borderId="6" xfId="0" applyFont="1" applyBorder="1" applyAlignment="1"/>
    <xf numFmtId="0" fontId="13" fillId="0" borderId="6" xfId="0" applyNumberFormat="1" applyFont="1" applyBorder="1" applyAlignment="1">
      <alignment horizontal="center"/>
    </xf>
    <xf numFmtId="0" fontId="17" fillId="0" borderId="6" xfId="1" applyBorder="1" applyAlignment="1" applyProtection="1"/>
    <xf numFmtId="16" fontId="13" fillId="0" borderId="6" xfId="0" applyNumberFormat="1" applyFont="1" applyBorder="1" applyAlignment="1"/>
    <xf numFmtId="49" fontId="13" fillId="0" borderId="6" xfId="0" applyNumberFormat="1" applyFont="1" applyBorder="1" applyAlignment="1">
      <alignment horizontal="center"/>
    </xf>
    <xf numFmtId="0" fontId="13" fillId="0" borderId="6" xfId="0" applyFont="1" applyBorder="1" applyAlignment="1"/>
    <xf numFmtId="0" fontId="34" fillId="0" borderId="6" xfId="1" applyFont="1" applyBorder="1" applyAlignment="1" applyProtection="1"/>
    <xf numFmtId="0" fontId="13" fillId="0" borderId="6" xfId="0" applyFont="1" applyBorder="1" applyAlignment="1">
      <alignment horizontal="center" vertical="center"/>
    </xf>
    <xf numFmtId="0" fontId="33" fillId="0" borderId="6" xfId="0" applyFont="1" applyFill="1" applyBorder="1" applyAlignment="1"/>
    <xf numFmtId="0" fontId="35" fillId="0" borderId="6" xfId="1" applyFont="1" applyBorder="1" applyAlignment="1" applyProtection="1"/>
    <xf numFmtId="0" fontId="13" fillId="0" borderId="6" xfId="0" applyFont="1" applyFill="1" applyBorder="1" applyAlignment="1">
      <alignment horizontal="center"/>
    </xf>
    <xf numFmtId="0" fontId="36" fillId="0" borderId="6" xfId="1" applyFont="1" applyBorder="1" applyAlignment="1" applyProtection="1"/>
    <xf numFmtId="0" fontId="17" fillId="0" borderId="6" xfId="1" applyFill="1" applyBorder="1" applyAlignment="1" applyProtection="1"/>
    <xf numFmtId="0" fontId="37" fillId="0" borderId="11" xfId="0" applyFont="1" applyBorder="1" applyAlignment="1">
      <alignment horizontal="center"/>
    </xf>
    <xf numFmtId="0" fontId="14" fillId="0" borderId="11" xfId="0" applyFont="1" applyBorder="1" applyAlignment="1"/>
    <xf numFmtId="0" fontId="13" fillId="0" borderId="11" xfId="0" applyFont="1" applyBorder="1" applyAlignment="1"/>
    <xf numFmtId="0" fontId="37" fillId="0" borderId="11" xfId="0" applyFont="1" applyBorder="1" applyAlignment="1"/>
    <xf numFmtId="49" fontId="37" fillId="0" borderId="11" xfId="0" applyNumberFormat="1" applyFont="1" applyBorder="1" applyAlignment="1">
      <alignment horizontal="left"/>
    </xf>
    <xf numFmtId="0" fontId="37" fillId="0" borderId="11" xfId="0" applyFont="1" applyBorder="1" applyAlignment="1"/>
    <xf numFmtId="0" fontId="13" fillId="0" borderId="11" xfId="0" applyFont="1" applyBorder="1" applyAlignment="1">
      <alignment horizontal="center"/>
    </xf>
    <xf numFmtId="49" fontId="13" fillId="0" borderId="11" xfId="0" applyNumberFormat="1" applyFont="1" applyBorder="1" applyAlignment="1">
      <alignment horizontal="left" vertical="top"/>
    </xf>
    <xf numFmtId="49" fontId="13" fillId="0" borderId="11" xfId="0" applyNumberFormat="1" applyFont="1" applyBorder="1" applyAlignment="1">
      <alignment horizontal="left"/>
    </xf>
    <xf numFmtId="0" fontId="4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37" fillId="0" borderId="11" xfId="0" applyFont="1" applyBorder="1">
      <alignment vertical="center"/>
    </xf>
    <xf numFmtId="0" fontId="4" fillId="0" borderId="11" xfId="0" applyNumberFormat="1" applyFont="1" applyBorder="1" applyAlignment="1">
      <alignment vertical="center" wrapText="1"/>
    </xf>
    <xf numFmtId="49" fontId="4" fillId="0" borderId="11" xfId="0" applyNumberFormat="1" applyFont="1" applyBorder="1" applyAlignment="1">
      <alignment horizontal="left"/>
    </xf>
    <xf numFmtId="0" fontId="4" fillId="0" borderId="11" xfId="0" applyNumberFormat="1" applyFont="1" applyBorder="1" applyAlignment="1"/>
    <xf numFmtId="49" fontId="13" fillId="0" borderId="0" xfId="0" applyNumberFormat="1" applyFont="1" applyAlignment="1">
      <alignment horizontal="left"/>
    </xf>
    <xf numFmtId="0" fontId="38" fillId="0" borderId="0" xfId="0" applyFont="1" applyAlignment="1"/>
    <xf numFmtId="0" fontId="39" fillId="0" borderId="0" xfId="0" applyFont="1" applyAlignment="1"/>
    <xf numFmtId="0" fontId="40" fillId="0" borderId="0" xfId="0" applyFont="1" applyAlignment="1"/>
    <xf numFmtId="0" fontId="22" fillId="0" borderId="12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17" fontId="24" fillId="0" borderId="13" xfId="0" applyNumberFormat="1" applyFont="1" applyBorder="1" applyAlignment="1">
      <alignment vertical="top" wrapText="1"/>
    </xf>
    <xf numFmtId="0" fontId="24" fillId="0" borderId="13" xfId="0" applyFont="1" applyBorder="1" applyAlignment="1">
      <alignment horizontal="center" vertical="top" wrapText="1"/>
    </xf>
    <xf numFmtId="0" fontId="23" fillId="0" borderId="7" xfId="0" applyFont="1" applyBorder="1" applyAlignment="1">
      <alignment vertical="center" wrapText="1"/>
    </xf>
    <xf numFmtId="0" fontId="4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top" wrapText="1"/>
    </xf>
    <xf numFmtId="0" fontId="22" fillId="0" borderId="0" xfId="0" applyFont="1">
      <alignment vertical="center"/>
    </xf>
    <xf numFmtId="0" fontId="42" fillId="0" borderId="11" xfId="0" applyFont="1" applyBorder="1" applyAlignment="1">
      <alignment horizontal="center" wrapText="1"/>
    </xf>
    <xf numFmtId="1" fontId="42" fillId="0" borderId="11" xfId="0" applyNumberFormat="1" applyFont="1" applyBorder="1" applyAlignment="1">
      <alignment horizontal="center" wrapText="1"/>
    </xf>
    <xf numFmtId="0" fontId="42" fillId="0" borderId="14" xfId="0" applyFont="1" applyBorder="1" applyAlignment="1">
      <alignment horizontal="center" wrapText="1"/>
    </xf>
    <xf numFmtId="0" fontId="43" fillId="0" borderId="15" xfId="0" applyFont="1" applyBorder="1" applyAlignment="1">
      <alignment horizontal="center" wrapText="1"/>
    </xf>
    <xf numFmtId="0" fontId="43" fillId="0" borderId="16" xfId="0" applyFont="1" applyBorder="1" applyAlignment="1">
      <alignment horizontal="center" wrapText="1"/>
    </xf>
    <xf numFmtId="0" fontId="44" fillId="0" borderId="11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1" fontId="44" fillId="0" borderId="11" xfId="0" applyNumberFormat="1" applyFont="1" applyBorder="1" applyAlignment="1">
      <alignment wrapText="1"/>
    </xf>
    <xf numFmtId="164" fontId="44" fillId="0" borderId="11" xfId="0" applyNumberFormat="1" applyFont="1" applyBorder="1" applyAlignment="1">
      <alignment wrapText="1"/>
    </xf>
    <xf numFmtId="0" fontId="44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44" fillId="3" borderId="11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1" fontId="44" fillId="3" borderId="11" xfId="0" applyNumberFormat="1" applyFont="1" applyFill="1" applyBorder="1" applyAlignment="1">
      <alignment wrapText="1"/>
    </xf>
    <xf numFmtId="164" fontId="44" fillId="3" borderId="11" xfId="0" applyNumberFormat="1" applyFont="1" applyFill="1" applyBorder="1" applyAlignment="1">
      <alignment wrapText="1"/>
    </xf>
    <xf numFmtId="0" fontId="44" fillId="3" borderId="14" xfId="0" applyFont="1" applyFill="1" applyBorder="1" applyAlignment="1">
      <alignment wrapText="1"/>
    </xf>
    <xf numFmtId="0" fontId="13" fillId="3" borderId="15" xfId="0" applyFont="1" applyFill="1" applyBorder="1" applyAlignment="1">
      <alignment wrapText="1"/>
    </xf>
    <xf numFmtId="0" fontId="13" fillId="3" borderId="16" xfId="0" applyFont="1" applyFill="1" applyBorder="1" applyAlignment="1">
      <alignment wrapText="1"/>
    </xf>
    <xf numFmtId="165" fontId="44" fillId="3" borderId="11" xfId="0" applyNumberFormat="1" applyFont="1" applyFill="1" applyBorder="1" applyAlignment="1">
      <alignment wrapText="1"/>
    </xf>
    <xf numFmtId="0" fontId="20" fillId="0" borderId="17" xfId="0" applyFont="1" applyBorder="1" applyAlignment="1"/>
    <xf numFmtId="0" fontId="20" fillId="0" borderId="18" xfId="0" applyFont="1" applyBorder="1" applyAlignment="1">
      <alignment horizontal="left"/>
    </xf>
    <xf numFmtId="0" fontId="20" fillId="0" borderId="18" xfId="0" applyFont="1" applyBorder="1" applyAlignment="1">
      <alignment horizontal="center"/>
    </xf>
    <xf numFmtId="0" fontId="20" fillId="0" borderId="18" xfId="0" applyNumberFormat="1" applyFont="1" applyBorder="1" applyAlignment="1">
      <alignment horizontal="left"/>
    </xf>
    <xf numFmtId="0" fontId="20" fillId="0" borderId="19" xfId="0" applyFont="1" applyBorder="1" applyAlignment="1">
      <alignment horizontal="left"/>
    </xf>
    <xf numFmtId="0" fontId="45" fillId="0" borderId="20" xfId="0" applyFont="1" applyBorder="1" applyAlignment="1"/>
    <xf numFmtId="0" fontId="45" fillId="0" borderId="20" xfId="0" applyFont="1" applyBorder="1" applyAlignment="1">
      <alignment horizontal="left"/>
    </xf>
    <xf numFmtId="0" fontId="45" fillId="0" borderId="20" xfId="0" applyFont="1" applyBorder="1" applyAlignment="1">
      <alignment horizontal="center"/>
    </xf>
    <xf numFmtId="0" fontId="45" fillId="0" borderId="20" xfId="0" applyNumberFormat="1" applyFont="1" applyBorder="1" applyAlignment="1">
      <alignment horizontal="left"/>
    </xf>
    <xf numFmtId="0" fontId="45" fillId="0" borderId="11" xfId="0" applyFont="1" applyBorder="1" applyAlignment="1"/>
    <xf numFmtId="0" fontId="45" fillId="0" borderId="11" xfId="0" applyFont="1" applyBorder="1" applyAlignment="1">
      <alignment horizontal="left"/>
    </xf>
    <xf numFmtId="0" fontId="45" fillId="0" borderId="11" xfId="0" applyFont="1" applyBorder="1" applyAlignment="1">
      <alignment horizontal="center"/>
    </xf>
    <xf numFmtId="0" fontId="45" fillId="0" borderId="11" xfId="0" applyNumberFormat="1" applyFont="1" applyBorder="1" applyAlignment="1">
      <alignment horizontal="left"/>
    </xf>
    <xf numFmtId="0" fontId="23" fillId="0" borderId="6" xfId="0" applyFont="1" applyBorder="1" applyAlignment="1">
      <alignment vertical="center" wrapText="1"/>
    </xf>
    <xf numFmtId="0" fontId="37" fillId="0" borderId="6" xfId="0" applyFont="1" applyBorder="1" applyAlignment="1">
      <alignment horizontal="center" vertical="center" wrapText="1"/>
    </xf>
    <xf numFmtId="0" fontId="37" fillId="0" borderId="9" xfId="0" applyFont="1" applyBorder="1" applyAlignment="1">
      <alignment vertical="center" wrapText="1"/>
    </xf>
    <xf numFmtId="0" fontId="25" fillId="0" borderId="10" xfId="0" applyFont="1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3" fillId="0" borderId="6" xfId="0" applyFont="1" applyBorder="1" applyAlignment="1">
      <alignment horizontal="left"/>
    </xf>
    <xf numFmtId="0" fontId="21" fillId="0" borderId="6" xfId="0" applyFont="1" applyBorder="1" applyAlignment="1">
      <alignment horizontal="center" vertical="center"/>
    </xf>
    <xf numFmtId="0" fontId="22" fillId="0" borderId="0" xfId="0" applyFont="1" applyAlignment="1"/>
    <xf numFmtId="0" fontId="13" fillId="0" borderId="0" xfId="0" applyFont="1" applyAlignment="1"/>
    <xf numFmtId="0" fontId="13" fillId="0" borderId="0" xfId="0" applyFont="1" applyAlignment="1"/>
    <xf numFmtId="0" fontId="38" fillId="0" borderId="0" xfId="0" applyFont="1" applyAlignment="1"/>
    <xf numFmtId="0" fontId="46" fillId="0" borderId="0" xfId="0" applyFont="1" applyAlignment="1"/>
    <xf numFmtId="0" fontId="47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9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omfortoladejo@rocketmail.com" TargetMode="External"/><Relationship Id="rId21" Type="http://schemas.openxmlformats.org/officeDocument/2006/relationships/hyperlink" Target="mailto:favour589@gmail.com" TargetMode="External"/><Relationship Id="rId42" Type="http://schemas.openxmlformats.org/officeDocument/2006/relationships/hyperlink" Target="mailto:damilolaojomo6@gmail.com" TargetMode="External"/><Relationship Id="rId63" Type="http://schemas.openxmlformats.org/officeDocument/2006/relationships/hyperlink" Target="mailto:oseghalejoel@gmail.com" TargetMode="External"/><Relationship Id="rId84" Type="http://schemas.openxmlformats.org/officeDocument/2006/relationships/hyperlink" Target="mailto:oluwakemijustine@gmail.com" TargetMode="External"/><Relationship Id="rId138" Type="http://schemas.openxmlformats.org/officeDocument/2006/relationships/hyperlink" Target="mailto:oreoluwatom@gmail.com" TargetMode="External"/><Relationship Id="rId159" Type="http://schemas.openxmlformats.org/officeDocument/2006/relationships/hyperlink" Target="mailto:falanamary17@gmail.com" TargetMode="External"/><Relationship Id="rId170" Type="http://schemas.openxmlformats.org/officeDocument/2006/relationships/hyperlink" Target="mailto:olayemipeter2016@gmail.com" TargetMode="External"/><Relationship Id="rId191" Type="http://schemas.openxmlformats.org/officeDocument/2006/relationships/hyperlink" Target="mailto:ibiyooyeaderemilekun@yahoo.com" TargetMode="External"/><Relationship Id="rId205" Type="http://schemas.openxmlformats.org/officeDocument/2006/relationships/hyperlink" Target="mailto:oraegbuayomide10@gmail.com" TargetMode="External"/><Relationship Id="rId107" Type="http://schemas.openxmlformats.org/officeDocument/2006/relationships/hyperlink" Target="mailto:ibkfola429@gmail.com" TargetMode="External"/><Relationship Id="rId11" Type="http://schemas.openxmlformats.org/officeDocument/2006/relationships/hyperlink" Target="mailto:adebukefakeye@yahoo.com" TargetMode="External"/><Relationship Id="rId32" Type="http://schemas.openxmlformats.org/officeDocument/2006/relationships/hyperlink" Target="mailto:shodesyi8@gmail.com" TargetMode="External"/><Relationship Id="rId53" Type="http://schemas.openxmlformats.org/officeDocument/2006/relationships/hyperlink" Target="mailto:oyedokun_temitope01@yahoo.com" TargetMode="External"/><Relationship Id="rId74" Type="http://schemas.openxmlformats.org/officeDocument/2006/relationships/hyperlink" Target="mailto:Olatidoyedennis@gmail.com" TargetMode="External"/><Relationship Id="rId128" Type="http://schemas.openxmlformats.org/officeDocument/2006/relationships/hyperlink" Target="mailto:adeluadeoniye14@gmail.com" TargetMode="External"/><Relationship Id="rId149" Type="http://schemas.openxmlformats.org/officeDocument/2006/relationships/hyperlink" Target="mailto:olusojidamilola20@gmail.com" TargetMode="External"/><Relationship Id="rId5" Type="http://schemas.openxmlformats.org/officeDocument/2006/relationships/hyperlink" Target="mailto:gideonade01@gmail.com" TargetMode="External"/><Relationship Id="rId90" Type="http://schemas.openxmlformats.org/officeDocument/2006/relationships/hyperlink" Target="mailto:Deekayy52@gmail.com" TargetMode="External"/><Relationship Id="rId95" Type="http://schemas.openxmlformats.org/officeDocument/2006/relationships/hyperlink" Target="mailto:karunwisamuel@gmail.com" TargetMode="External"/><Relationship Id="rId160" Type="http://schemas.openxmlformats.org/officeDocument/2006/relationships/hyperlink" Target="mailto:odunayoeunice7@gmail.com" TargetMode="External"/><Relationship Id="rId165" Type="http://schemas.openxmlformats.org/officeDocument/2006/relationships/hyperlink" Target="mailto:estherolonimoyo@gmail.com" TargetMode="External"/><Relationship Id="rId181" Type="http://schemas.openxmlformats.org/officeDocument/2006/relationships/hyperlink" Target="mailto:estheradebola49@gmail.com" TargetMode="External"/><Relationship Id="rId186" Type="http://schemas.openxmlformats.org/officeDocument/2006/relationships/hyperlink" Target="mailto:Josphien_roxie@yahoo.com" TargetMode="External"/><Relationship Id="rId216" Type="http://schemas.openxmlformats.org/officeDocument/2006/relationships/hyperlink" Target="mailto:Hadassahtopaz@gmail.com" TargetMode="External"/><Relationship Id="rId211" Type="http://schemas.openxmlformats.org/officeDocument/2006/relationships/hyperlink" Target="mailto:kayode7075@gmail.com" TargetMode="External"/><Relationship Id="rId22" Type="http://schemas.openxmlformats.org/officeDocument/2006/relationships/hyperlink" Target="mailto:yusufoluwatobi21@gmail.com" TargetMode="External"/><Relationship Id="rId27" Type="http://schemas.openxmlformats.org/officeDocument/2006/relationships/hyperlink" Target="mailto:akinbami64@gmail.com" TargetMode="External"/><Relationship Id="rId43" Type="http://schemas.openxmlformats.org/officeDocument/2006/relationships/hyperlink" Target="mailto:helenayodeji146@gmail.com" TargetMode="External"/><Relationship Id="rId48" Type="http://schemas.openxmlformats.org/officeDocument/2006/relationships/hyperlink" Target="mailto:idowufikayo@gmail.com" TargetMode="External"/><Relationship Id="rId64" Type="http://schemas.openxmlformats.org/officeDocument/2006/relationships/hyperlink" Target="mailto:bayodeolusa@gmail.com" TargetMode="External"/><Relationship Id="rId69" Type="http://schemas.openxmlformats.org/officeDocument/2006/relationships/hyperlink" Target="mailto:aham02@gmail.com" TargetMode="External"/><Relationship Id="rId113" Type="http://schemas.openxmlformats.org/officeDocument/2006/relationships/hyperlink" Target="mailto:Almastel18@gmail.com" TargetMode="External"/><Relationship Id="rId118" Type="http://schemas.openxmlformats.org/officeDocument/2006/relationships/hyperlink" Target="mailto:obedakitan@gmail.com" TargetMode="External"/><Relationship Id="rId134" Type="http://schemas.openxmlformats.org/officeDocument/2006/relationships/hyperlink" Target="mailto:awisamuel@gmail.com" TargetMode="External"/><Relationship Id="rId139" Type="http://schemas.openxmlformats.org/officeDocument/2006/relationships/hyperlink" Target="mailto:ayomiderinsola@gmail.com" TargetMode="External"/><Relationship Id="rId80" Type="http://schemas.openxmlformats.org/officeDocument/2006/relationships/hyperlink" Target="mailto:akinbolawa90@gmail.com" TargetMode="External"/><Relationship Id="rId85" Type="http://schemas.openxmlformats.org/officeDocument/2006/relationships/hyperlink" Target="mailto:Olookufavour1@gmail.com" TargetMode="External"/><Relationship Id="rId150" Type="http://schemas.openxmlformats.org/officeDocument/2006/relationships/hyperlink" Target="mailto:johnmobuse@gmail.com" TargetMode="External"/><Relationship Id="rId155" Type="http://schemas.openxmlformats.org/officeDocument/2006/relationships/hyperlink" Target="mailto:cmonjola@gmail.com" TargetMode="External"/><Relationship Id="rId171" Type="http://schemas.openxmlformats.org/officeDocument/2006/relationships/hyperlink" Target="mailto:odun16ayo@gmail.com" TargetMode="External"/><Relationship Id="rId176" Type="http://schemas.openxmlformats.org/officeDocument/2006/relationships/hyperlink" Target="mailto:olujigladys12@gmail.com" TargetMode="External"/><Relationship Id="rId192" Type="http://schemas.openxmlformats.org/officeDocument/2006/relationships/hyperlink" Target="mailto:oluwatosintaiwo@gmail.com" TargetMode="External"/><Relationship Id="rId197" Type="http://schemas.openxmlformats.org/officeDocument/2006/relationships/hyperlink" Target="mailto:olagokeolamidun-sarah@yahoo.com" TargetMode="External"/><Relationship Id="rId206" Type="http://schemas.openxmlformats.org/officeDocument/2006/relationships/hyperlink" Target="mailto:donmcpeterson@gmail.com" TargetMode="External"/><Relationship Id="rId201" Type="http://schemas.openxmlformats.org/officeDocument/2006/relationships/hyperlink" Target="mailto:hesstahr@gmail.com" TargetMode="External"/><Relationship Id="rId12" Type="http://schemas.openxmlformats.org/officeDocument/2006/relationships/hyperlink" Target="mailto:victor.aham02@gmail.com" TargetMode="External"/><Relationship Id="rId17" Type="http://schemas.openxmlformats.org/officeDocument/2006/relationships/hyperlink" Target="mailto:omokinde2018@gmail.com" TargetMode="External"/><Relationship Id="rId33" Type="http://schemas.openxmlformats.org/officeDocument/2006/relationships/hyperlink" Target="mailto:ogunsinaisaac@gmail.com" TargetMode="External"/><Relationship Id="rId38" Type="http://schemas.openxmlformats.org/officeDocument/2006/relationships/hyperlink" Target="mailto:adnutdavid@gmail.com" TargetMode="External"/><Relationship Id="rId59" Type="http://schemas.openxmlformats.org/officeDocument/2006/relationships/hyperlink" Target="mailto:Adebaramarcus@gmail.com" TargetMode="External"/><Relationship Id="rId103" Type="http://schemas.openxmlformats.org/officeDocument/2006/relationships/hyperlink" Target="mailto:meshachfayemi@gmail.com" TargetMode="External"/><Relationship Id="rId108" Type="http://schemas.openxmlformats.org/officeDocument/2006/relationships/hyperlink" Target="mailto:daraadenipekun@yahoo.com" TargetMode="External"/><Relationship Id="rId124" Type="http://schemas.openxmlformats.org/officeDocument/2006/relationships/hyperlink" Target="mailto:herbiolar2@gmail.com" TargetMode="External"/><Relationship Id="rId129" Type="http://schemas.openxmlformats.org/officeDocument/2006/relationships/hyperlink" Target="mailto:ayomidejesu@gmail.com" TargetMode="External"/><Relationship Id="rId54" Type="http://schemas.openxmlformats.org/officeDocument/2006/relationships/hyperlink" Target="mailto:omonitansamuel@gmail.com" TargetMode="External"/><Relationship Id="rId70" Type="http://schemas.openxmlformats.org/officeDocument/2006/relationships/hyperlink" Target="mailto:sammytimti@gmail.com" TargetMode="External"/><Relationship Id="rId75" Type="http://schemas.openxmlformats.org/officeDocument/2006/relationships/hyperlink" Target="mailto:manuelola6@gmail.com" TargetMode="External"/><Relationship Id="rId91" Type="http://schemas.openxmlformats.org/officeDocument/2006/relationships/hyperlink" Target="mailto:aoclassic@gmail.com" TargetMode="External"/><Relationship Id="rId96" Type="http://schemas.openxmlformats.org/officeDocument/2006/relationships/hyperlink" Target="mailto:Olasco27@gmail.com" TargetMode="External"/><Relationship Id="rId140" Type="http://schemas.openxmlformats.org/officeDocument/2006/relationships/hyperlink" Target="mailto:idowuaiyemiracle@gmail.com" TargetMode="External"/><Relationship Id="rId145" Type="http://schemas.openxmlformats.org/officeDocument/2006/relationships/hyperlink" Target="mailto:jamesuchenna777@gmail.com" TargetMode="External"/><Relationship Id="rId161" Type="http://schemas.openxmlformats.org/officeDocument/2006/relationships/hyperlink" Target="mailto:igemichael2@gmail.com" TargetMode="External"/><Relationship Id="rId166" Type="http://schemas.openxmlformats.org/officeDocument/2006/relationships/hyperlink" Target="mailto:veluyode@gmail.com" TargetMode="External"/><Relationship Id="rId182" Type="http://schemas.openxmlformats.org/officeDocument/2006/relationships/hyperlink" Target="mailto:banjibayode@gmail.com" TargetMode="External"/><Relationship Id="rId187" Type="http://schemas.openxmlformats.org/officeDocument/2006/relationships/hyperlink" Target="mailto:akinwaleadeniyi2@gmail.com" TargetMode="External"/><Relationship Id="rId217" Type="http://schemas.openxmlformats.org/officeDocument/2006/relationships/hyperlink" Target="mailto:olamideadu@outlook.com" TargetMode="External"/><Relationship Id="rId1" Type="http://schemas.openxmlformats.org/officeDocument/2006/relationships/hyperlink" Target="mailto:d4abegu00@gmail.com" TargetMode="External"/><Relationship Id="rId6" Type="http://schemas.openxmlformats.org/officeDocument/2006/relationships/hyperlink" Target="mailto:ojojoshua050@gmail.com" TargetMode="External"/><Relationship Id="rId212" Type="http://schemas.openxmlformats.org/officeDocument/2006/relationships/hyperlink" Target="mailto:vikiseun@yahoo.com" TargetMode="External"/><Relationship Id="rId23" Type="http://schemas.openxmlformats.org/officeDocument/2006/relationships/hyperlink" Target="mailto:ologundaniel@yahoo.com" TargetMode="External"/><Relationship Id="rId28" Type="http://schemas.openxmlformats.org/officeDocument/2006/relationships/hyperlink" Target="mailto:afizjnr@gmail.com" TargetMode="External"/><Relationship Id="rId49" Type="http://schemas.openxmlformats.org/officeDocument/2006/relationships/hyperlink" Target="mailto:agbedebridget14@gmail.com" TargetMode="External"/><Relationship Id="rId114" Type="http://schemas.openxmlformats.org/officeDocument/2006/relationships/hyperlink" Target="mailto:aladesuyitemitope@gmail.com" TargetMode="External"/><Relationship Id="rId119" Type="http://schemas.openxmlformats.org/officeDocument/2006/relationships/hyperlink" Target="mailto:olamidesamuel001@gmail.com" TargetMode="External"/><Relationship Id="rId44" Type="http://schemas.openxmlformats.org/officeDocument/2006/relationships/hyperlink" Target="mailto:iwasokunblessing2018@gmail.com" TargetMode="External"/><Relationship Id="rId60" Type="http://schemas.openxmlformats.org/officeDocument/2006/relationships/hyperlink" Target="mailto:atlantagold96@gmail.com" TargetMode="External"/><Relationship Id="rId65" Type="http://schemas.openxmlformats.org/officeDocument/2006/relationships/hyperlink" Target="mailto:emiolaomojolade@gmail.com" TargetMode="External"/><Relationship Id="rId81" Type="http://schemas.openxmlformats.org/officeDocument/2006/relationships/hyperlink" Target="mailto:adedokunclement@gmail.com" TargetMode="External"/><Relationship Id="rId86" Type="http://schemas.openxmlformats.org/officeDocument/2006/relationships/hyperlink" Target="mailto:ebenice4real@gmail.com" TargetMode="External"/><Relationship Id="rId130" Type="http://schemas.openxmlformats.org/officeDocument/2006/relationships/hyperlink" Target="mailto:gegemykel@gmail.com" TargetMode="External"/><Relationship Id="rId135" Type="http://schemas.openxmlformats.org/officeDocument/2006/relationships/hyperlink" Target="mailto:olawuyisamuel27@yahoo.com" TargetMode="External"/><Relationship Id="rId151" Type="http://schemas.openxmlformats.org/officeDocument/2006/relationships/hyperlink" Target="mailto:afrikex19@gmail.com" TargetMode="External"/><Relationship Id="rId156" Type="http://schemas.openxmlformats.org/officeDocument/2006/relationships/hyperlink" Target="mailto:jonerryjoe@gmail.com" TargetMode="External"/><Relationship Id="rId177" Type="http://schemas.openxmlformats.org/officeDocument/2006/relationships/hyperlink" Target="mailto:ophems@gmail.com" TargetMode="External"/><Relationship Id="rId198" Type="http://schemas.openxmlformats.org/officeDocument/2006/relationships/hyperlink" Target="mailto:olusolakehinde@yahoo.com" TargetMode="External"/><Relationship Id="rId172" Type="http://schemas.openxmlformats.org/officeDocument/2006/relationships/hyperlink" Target="mailto:oluronke2@gmail.com" TargetMode="External"/><Relationship Id="rId193" Type="http://schemas.openxmlformats.org/officeDocument/2006/relationships/hyperlink" Target="mailto:oyeyemititilope23@gmail.com" TargetMode="External"/><Relationship Id="rId202" Type="http://schemas.openxmlformats.org/officeDocument/2006/relationships/hyperlink" Target="mailto:psabatadelakun@gmail.com" TargetMode="External"/><Relationship Id="rId207" Type="http://schemas.openxmlformats.org/officeDocument/2006/relationships/hyperlink" Target="mailto:olugbengaokanrede@gmail.com" TargetMode="External"/><Relationship Id="rId13" Type="http://schemas.openxmlformats.org/officeDocument/2006/relationships/hyperlink" Target="mailto:samtee378@gmail.com" TargetMode="External"/><Relationship Id="rId18" Type="http://schemas.openxmlformats.org/officeDocument/2006/relationships/hyperlink" Target="mailto:ay4dbest@yahoo.com" TargetMode="External"/><Relationship Id="rId39" Type="http://schemas.openxmlformats.org/officeDocument/2006/relationships/hyperlink" Target="mailto:samleyjackie@gmail.com" TargetMode="External"/><Relationship Id="rId109" Type="http://schemas.openxmlformats.org/officeDocument/2006/relationships/hyperlink" Target="mailto:akerele_adeola@yahoo.com" TargetMode="External"/><Relationship Id="rId34" Type="http://schemas.openxmlformats.org/officeDocument/2006/relationships/hyperlink" Target="mailto:emmanuelfemi772@gmail.com" TargetMode="External"/><Relationship Id="rId50" Type="http://schemas.openxmlformats.org/officeDocument/2006/relationships/hyperlink" Target="mailto:deyfunky26@gmail.com" TargetMode="External"/><Relationship Id="rId55" Type="http://schemas.openxmlformats.org/officeDocument/2006/relationships/hyperlink" Target="mailto:daniel.kelechi@yahoo.com" TargetMode="External"/><Relationship Id="rId76" Type="http://schemas.openxmlformats.org/officeDocument/2006/relationships/hyperlink" Target="mailto:iyanuroberts@gmail.com" TargetMode="External"/><Relationship Id="rId97" Type="http://schemas.openxmlformats.org/officeDocument/2006/relationships/hyperlink" Target="mailto:kikiowooluwatobiloba@gmail.com" TargetMode="External"/><Relationship Id="rId104" Type="http://schemas.openxmlformats.org/officeDocument/2006/relationships/hyperlink" Target="mailto:alabi.ibukunoluwa@yahoo.com" TargetMode="External"/><Relationship Id="rId120" Type="http://schemas.openxmlformats.org/officeDocument/2006/relationships/hyperlink" Target="mailto:adebowaletboy@gmail.com" TargetMode="External"/><Relationship Id="rId125" Type="http://schemas.openxmlformats.org/officeDocument/2006/relationships/hyperlink" Target="mailto:olusolaoyewumi@gmail.com" TargetMode="External"/><Relationship Id="rId141" Type="http://schemas.openxmlformats.org/officeDocument/2006/relationships/hyperlink" Target="mailto:adebisiadedoyin27@gmail.com" TargetMode="External"/><Relationship Id="rId146" Type="http://schemas.openxmlformats.org/officeDocument/2006/relationships/hyperlink" Target="mailto:olaolugbenga@gmail.com" TargetMode="External"/><Relationship Id="rId167" Type="http://schemas.openxmlformats.org/officeDocument/2006/relationships/hyperlink" Target="mailto:tolu_abiri@yahoo.com" TargetMode="External"/><Relationship Id="rId188" Type="http://schemas.openxmlformats.org/officeDocument/2006/relationships/hyperlink" Target="mailto:lakespr@gmail.com" TargetMode="External"/><Relationship Id="rId7" Type="http://schemas.openxmlformats.org/officeDocument/2006/relationships/hyperlink" Target="mailto:ibiyomiolalekan23@gmail.com" TargetMode="External"/><Relationship Id="rId71" Type="http://schemas.openxmlformats.org/officeDocument/2006/relationships/hyperlink" Target="mailto:mhoyinoluwa@gmail.com" TargetMode="External"/><Relationship Id="rId92" Type="http://schemas.openxmlformats.org/officeDocument/2006/relationships/hyperlink" Target="mailto:Adebayovicky1@gmail.com" TargetMode="External"/><Relationship Id="rId162" Type="http://schemas.openxmlformats.org/officeDocument/2006/relationships/hyperlink" Target="mailto:ogundeinayomidetosin@gmail.com" TargetMode="External"/><Relationship Id="rId183" Type="http://schemas.openxmlformats.org/officeDocument/2006/relationships/hyperlink" Target="mailto:oluwaseyipopoola4@gmail.com" TargetMode="External"/><Relationship Id="rId213" Type="http://schemas.openxmlformats.org/officeDocument/2006/relationships/hyperlink" Target="mailto:ogbeiwi97@gmail.com" TargetMode="External"/><Relationship Id="rId218" Type="http://schemas.openxmlformats.org/officeDocument/2006/relationships/hyperlink" Target="mailto:olugbengap@gmail.com" TargetMode="External"/><Relationship Id="rId2" Type="http://schemas.openxmlformats.org/officeDocument/2006/relationships/hyperlink" Target="mailto:eseimuededestiny@gmail.com" TargetMode="External"/><Relationship Id="rId29" Type="http://schemas.openxmlformats.org/officeDocument/2006/relationships/hyperlink" Target="mailto:lawaniprogress@gmail.com" TargetMode="External"/><Relationship Id="rId24" Type="http://schemas.openxmlformats.org/officeDocument/2006/relationships/hyperlink" Target="mailto:akinadetunmise8@gmail.com" TargetMode="External"/><Relationship Id="rId40" Type="http://schemas.openxmlformats.org/officeDocument/2006/relationships/hyperlink" Target="mailto:olukuewuadekunle@gmail.com" TargetMode="External"/><Relationship Id="rId45" Type="http://schemas.openxmlformats.org/officeDocument/2006/relationships/hyperlink" Target="mailto:roselinedamisi@gmail.com" TargetMode="External"/><Relationship Id="rId66" Type="http://schemas.openxmlformats.org/officeDocument/2006/relationships/hyperlink" Target="mailto:davidakins18@gmail.com" TargetMode="External"/><Relationship Id="rId87" Type="http://schemas.openxmlformats.org/officeDocument/2006/relationships/hyperlink" Target="mailto:Rutholuwatosin01@gmail.com" TargetMode="External"/><Relationship Id="rId110" Type="http://schemas.openxmlformats.org/officeDocument/2006/relationships/hyperlink" Target="mailto:fikayomifayemi@gmail.com" TargetMode="External"/><Relationship Id="rId115" Type="http://schemas.openxmlformats.org/officeDocument/2006/relationships/hyperlink" Target="mailto:ojoopeyemi80@gmail.com" TargetMode="External"/><Relationship Id="rId131" Type="http://schemas.openxmlformats.org/officeDocument/2006/relationships/hyperlink" Target="mailto:demyykongy@gmail.com" TargetMode="External"/><Relationship Id="rId136" Type="http://schemas.openxmlformats.org/officeDocument/2006/relationships/hyperlink" Target="mailto:davidsonpadree@gmail.com" TargetMode="External"/><Relationship Id="rId157" Type="http://schemas.openxmlformats.org/officeDocument/2006/relationships/hyperlink" Target="mailto:jameskayode39@gmail.com" TargetMode="External"/><Relationship Id="rId178" Type="http://schemas.openxmlformats.org/officeDocument/2006/relationships/hyperlink" Target="mailto:adetutumary1@gmail.com" TargetMode="External"/><Relationship Id="rId61" Type="http://schemas.openxmlformats.org/officeDocument/2006/relationships/hyperlink" Target="mailto:bjoloku@gmail.com" TargetMode="External"/><Relationship Id="rId82" Type="http://schemas.openxmlformats.org/officeDocument/2006/relationships/hyperlink" Target="mailto:Awonusia@gmail.com" TargetMode="External"/><Relationship Id="rId152" Type="http://schemas.openxmlformats.org/officeDocument/2006/relationships/hyperlink" Target="mailto:mosesadedeji24@gmail.com" TargetMode="External"/><Relationship Id="rId173" Type="http://schemas.openxmlformats.org/officeDocument/2006/relationships/hyperlink" Target="mailto:olorunsayeenny@gmail.com" TargetMode="External"/><Relationship Id="rId194" Type="http://schemas.openxmlformats.org/officeDocument/2006/relationships/hyperlink" Target="mailto:abimbolafesobi@gmail.com" TargetMode="External"/><Relationship Id="rId199" Type="http://schemas.openxmlformats.org/officeDocument/2006/relationships/hyperlink" Target="mailto:kushmania6@gmail.com" TargetMode="External"/><Relationship Id="rId203" Type="http://schemas.openxmlformats.org/officeDocument/2006/relationships/hyperlink" Target="mailto:Akinmoyeakinwale@yahoo.com" TargetMode="External"/><Relationship Id="rId208" Type="http://schemas.openxmlformats.org/officeDocument/2006/relationships/hyperlink" Target="mailto:kennyboluwatife@gmail.com" TargetMode="External"/><Relationship Id="rId19" Type="http://schemas.openxmlformats.org/officeDocument/2006/relationships/hyperlink" Target="mailto:gbolahaniyiola@gmail.com" TargetMode="External"/><Relationship Id="rId14" Type="http://schemas.openxmlformats.org/officeDocument/2006/relationships/hyperlink" Target="mailto:blissydammy22@gmail.com" TargetMode="External"/><Relationship Id="rId30" Type="http://schemas.openxmlformats.org/officeDocument/2006/relationships/hyperlink" Target="mailto:adeyemoferanmi78@gmail.com" TargetMode="External"/><Relationship Id="rId35" Type="http://schemas.openxmlformats.org/officeDocument/2006/relationships/hyperlink" Target="mailto:omalesamson123@gmail.com" TargetMode="External"/><Relationship Id="rId56" Type="http://schemas.openxmlformats.org/officeDocument/2006/relationships/hyperlink" Target="mailto:ayomiposi103@gmail.com" TargetMode="External"/><Relationship Id="rId77" Type="http://schemas.openxmlformats.org/officeDocument/2006/relationships/hyperlink" Target="mailto:yemquinne247@gmail.com" TargetMode="External"/><Relationship Id="rId100" Type="http://schemas.openxmlformats.org/officeDocument/2006/relationships/hyperlink" Target="mailto:tsticksluv2real@gmail.com" TargetMode="External"/><Relationship Id="rId105" Type="http://schemas.openxmlformats.org/officeDocument/2006/relationships/hyperlink" Target="mailto:kafarusimileoluwa@gmail.com" TargetMode="External"/><Relationship Id="rId126" Type="http://schemas.openxmlformats.org/officeDocument/2006/relationships/hyperlink" Target="mailto:enochbest@gmail.com" TargetMode="External"/><Relationship Id="rId147" Type="http://schemas.openxmlformats.org/officeDocument/2006/relationships/hyperlink" Target="mailto:okeowopaul18@gmail.com" TargetMode="External"/><Relationship Id="rId168" Type="http://schemas.openxmlformats.org/officeDocument/2006/relationships/hyperlink" Target="mailto:stephvo97@gmail.com" TargetMode="External"/><Relationship Id="rId8" Type="http://schemas.openxmlformats.org/officeDocument/2006/relationships/hyperlink" Target="mailto:oladreal18@gmail.com" TargetMode="External"/><Relationship Id="rId51" Type="http://schemas.openxmlformats.org/officeDocument/2006/relationships/hyperlink" Target="mailto:Izleavril@gmail.com" TargetMode="External"/><Relationship Id="rId72" Type="http://schemas.openxmlformats.org/officeDocument/2006/relationships/hyperlink" Target="mailto:Awomad1@gmail.com" TargetMode="External"/><Relationship Id="rId93" Type="http://schemas.openxmlformats.org/officeDocument/2006/relationships/hyperlink" Target="mailto:yeyeolujide@gmail.com" TargetMode="External"/><Relationship Id="rId98" Type="http://schemas.openxmlformats.org/officeDocument/2006/relationships/hyperlink" Target="mailto:ajisolatomi33@gmail.com" TargetMode="External"/><Relationship Id="rId121" Type="http://schemas.openxmlformats.org/officeDocument/2006/relationships/hyperlink" Target="mailto:justinaoluwakemi@gmail.com" TargetMode="External"/><Relationship Id="rId142" Type="http://schemas.openxmlformats.org/officeDocument/2006/relationships/hyperlink" Target="mailto:sbjjdot@yahoo.com" TargetMode="External"/><Relationship Id="rId163" Type="http://schemas.openxmlformats.org/officeDocument/2006/relationships/hyperlink" Target="mailto:anifowosefoluke01@gmail.com" TargetMode="External"/><Relationship Id="rId184" Type="http://schemas.openxmlformats.org/officeDocument/2006/relationships/hyperlink" Target="mailto:gem9496@gmail.com" TargetMode="External"/><Relationship Id="rId189" Type="http://schemas.openxmlformats.org/officeDocument/2006/relationships/hyperlink" Target="mailto:bouquijane@yahoo.com" TargetMode="External"/><Relationship Id="rId219" Type="http://schemas.openxmlformats.org/officeDocument/2006/relationships/hyperlink" Target="mailto:oluwaseyi.akindele@yahoo.com" TargetMode="External"/><Relationship Id="rId3" Type="http://schemas.openxmlformats.org/officeDocument/2006/relationships/hyperlink" Target="mailto:jnweke54@gmail.com" TargetMode="External"/><Relationship Id="rId214" Type="http://schemas.openxmlformats.org/officeDocument/2006/relationships/hyperlink" Target="mailto:olaojububj@yahoo.com" TargetMode="External"/><Relationship Id="rId25" Type="http://schemas.openxmlformats.org/officeDocument/2006/relationships/hyperlink" Target="mailto:olanrewajuolusola@gmail.com" TargetMode="External"/><Relationship Id="rId46" Type="http://schemas.openxmlformats.org/officeDocument/2006/relationships/hyperlink" Target="mailto:ogunladeoluwasayo@gmail.com" TargetMode="External"/><Relationship Id="rId67" Type="http://schemas.openxmlformats.org/officeDocument/2006/relationships/hyperlink" Target="mailto:olawaleforever@yhoo.com" TargetMode="External"/><Relationship Id="rId116" Type="http://schemas.openxmlformats.org/officeDocument/2006/relationships/hyperlink" Target="mailto:ogundolapooladipupo@gmail.com" TargetMode="External"/><Relationship Id="rId137" Type="http://schemas.openxmlformats.org/officeDocument/2006/relationships/hyperlink" Target="mailto:adetunji4325@gmail.com" TargetMode="External"/><Relationship Id="rId158" Type="http://schemas.openxmlformats.org/officeDocument/2006/relationships/hyperlink" Target="mailto:ogbonnayachristianah@gmail.com" TargetMode="External"/><Relationship Id="rId20" Type="http://schemas.openxmlformats.org/officeDocument/2006/relationships/hyperlink" Target="mailto:lawlyking@gmail.com" TargetMode="External"/><Relationship Id="rId41" Type="http://schemas.openxmlformats.org/officeDocument/2006/relationships/hyperlink" Target="mailto:awodiransamuela@gmail.com" TargetMode="External"/><Relationship Id="rId62" Type="http://schemas.openxmlformats.org/officeDocument/2006/relationships/hyperlink" Target="mailto:favouribkawoma@gmail.com" TargetMode="External"/><Relationship Id="rId83" Type="http://schemas.openxmlformats.org/officeDocument/2006/relationships/hyperlink" Target="mailto:peteradedokun1@gmail.com" TargetMode="External"/><Relationship Id="rId88" Type="http://schemas.openxmlformats.org/officeDocument/2006/relationships/hyperlink" Target="mailto:adexpeter11@gmail.com" TargetMode="External"/><Relationship Id="rId111" Type="http://schemas.openxmlformats.org/officeDocument/2006/relationships/hyperlink" Target="mailto:judahakinwale@gmail.com" TargetMode="External"/><Relationship Id="rId132" Type="http://schemas.openxmlformats.org/officeDocument/2006/relationships/hyperlink" Target="mailto:feyi96.og@gmail.com" TargetMode="External"/><Relationship Id="rId153" Type="http://schemas.openxmlformats.org/officeDocument/2006/relationships/hyperlink" Target="mailto:dipsman15@gmail.com" TargetMode="External"/><Relationship Id="rId174" Type="http://schemas.openxmlformats.org/officeDocument/2006/relationships/hyperlink" Target="mailto:afolayanemmanueloluwakayode@gmail.com" TargetMode="External"/><Relationship Id="rId179" Type="http://schemas.openxmlformats.org/officeDocument/2006/relationships/hyperlink" Target="mailto:idrisoyinkan@gmail.com" TargetMode="External"/><Relationship Id="rId195" Type="http://schemas.openxmlformats.org/officeDocument/2006/relationships/hyperlink" Target="mailto:majiyagbeabiodun001@gmail.com" TargetMode="External"/><Relationship Id="rId209" Type="http://schemas.openxmlformats.org/officeDocument/2006/relationships/hyperlink" Target="mailto:Ogundairob@gmail.com" TargetMode="External"/><Relationship Id="rId190" Type="http://schemas.openxmlformats.org/officeDocument/2006/relationships/hyperlink" Target="mailto:obanlaesther4@gmail.com" TargetMode="External"/><Relationship Id="rId204" Type="http://schemas.openxmlformats.org/officeDocument/2006/relationships/hyperlink" Target="mailto:0ddumeryurwah@gmail.com" TargetMode="External"/><Relationship Id="rId220" Type="http://schemas.openxmlformats.org/officeDocument/2006/relationships/hyperlink" Target="mailto:Dadesuyan@yahoo.com" TargetMode="External"/><Relationship Id="rId15" Type="http://schemas.openxmlformats.org/officeDocument/2006/relationships/hyperlink" Target="mailto:emmanuelolapoju01@gmail.com" TargetMode="External"/><Relationship Id="rId36" Type="http://schemas.openxmlformats.org/officeDocument/2006/relationships/hyperlink" Target="mailto:olufunxy@gmail.com" TargetMode="External"/><Relationship Id="rId57" Type="http://schemas.openxmlformats.org/officeDocument/2006/relationships/hyperlink" Target="mailto:adeolaraymond1@gmail.com" TargetMode="External"/><Relationship Id="rId106" Type="http://schemas.openxmlformats.org/officeDocument/2006/relationships/hyperlink" Target="mailto:ibilorofunmi@gmail.com" TargetMode="External"/><Relationship Id="rId127" Type="http://schemas.openxmlformats.org/officeDocument/2006/relationships/hyperlink" Target="mailto:loveolubummo4@yahoo.com" TargetMode="External"/><Relationship Id="rId10" Type="http://schemas.openxmlformats.org/officeDocument/2006/relationships/hyperlink" Target="mailto:emmanuelowolabi123@gmail.com" TargetMode="External"/><Relationship Id="rId31" Type="http://schemas.openxmlformats.org/officeDocument/2006/relationships/hyperlink" Target="mailto:shegzlite49@gmail.com" TargetMode="External"/><Relationship Id="rId52" Type="http://schemas.openxmlformats.org/officeDocument/2006/relationships/hyperlink" Target="mailto:oluwaseunadenuga445@gmail.com" TargetMode="External"/><Relationship Id="rId73" Type="http://schemas.openxmlformats.org/officeDocument/2006/relationships/hyperlink" Target="mailto:idrislydiatofunmi@gmail.com" TargetMode="External"/><Relationship Id="rId78" Type="http://schemas.openxmlformats.org/officeDocument/2006/relationships/hyperlink" Target="mailto:princesstreasure832@gmail.com" TargetMode="External"/><Relationship Id="rId94" Type="http://schemas.openxmlformats.org/officeDocument/2006/relationships/hyperlink" Target="mailto:yhuppy1@gmail.com" TargetMode="External"/><Relationship Id="rId99" Type="http://schemas.openxmlformats.org/officeDocument/2006/relationships/hyperlink" Target="mailto:karimjnr@gmail.com" TargetMode="External"/><Relationship Id="rId101" Type="http://schemas.openxmlformats.org/officeDocument/2006/relationships/hyperlink" Target="mailto:adedayo355@gmail.com" TargetMode="External"/><Relationship Id="rId122" Type="http://schemas.openxmlformats.org/officeDocument/2006/relationships/hyperlink" Target="mailto:josephomotolani@gmail.com" TargetMode="External"/><Relationship Id="rId143" Type="http://schemas.openxmlformats.org/officeDocument/2006/relationships/hyperlink" Target="mailto:matthewijeoma301@gmail.com" TargetMode="External"/><Relationship Id="rId148" Type="http://schemas.openxmlformats.org/officeDocument/2006/relationships/hyperlink" Target="mailto:yaphaoolasanmi93@gmail.com" TargetMode="External"/><Relationship Id="rId164" Type="http://schemas.openxmlformats.org/officeDocument/2006/relationships/hyperlink" Target="mailto:popoolashina57@gmail.com" TargetMode="External"/><Relationship Id="rId169" Type="http://schemas.openxmlformats.org/officeDocument/2006/relationships/hyperlink" Target="mailto:adebayoe2@gmail.com" TargetMode="External"/><Relationship Id="rId185" Type="http://schemas.openxmlformats.org/officeDocument/2006/relationships/hyperlink" Target="mailto:tosirano007@gmail.com" TargetMode="External"/><Relationship Id="rId4" Type="http://schemas.openxmlformats.org/officeDocument/2006/relationships/hyperlink" Target="mailto:williamstephen23@gmail.com" TargetMode="External"/><Relationship Id="rId9" Type="http://schemas.openxmlformats.org/officeDocument/2006/relationships/hyperlink" Target="mailto:olorunsolaibukunisaiah@yahoo.com" TargetMode="External"/><Relationship Id="rId180" Type="http://schemas.openxmlformats.org/officeDocument/2006/relationships/hyperlink" Target="mailto:tomiwa@theonlineagent.net" TargetMode="External"/><Relationship Id="rId210" Type="http://schemas.openxmlformats.org/officeDocument/2006/relationships/hyperlink" Target="mailto:shawbrothers13@gmail.com" TargetMode="External"/><Relationship Id="rId215" Type="http://schemas.openxmlformats.org/officeDocument/2006/relationships/hyperlink" Target="mailto:seunayo55@gmail.com" TargetMode="External"/><Relationship Id="rId26" Type="http://schemas.openxmlformats.org/officeDocument/2006/relationships/hyperlink" Target="mailto:cephaxokeowo@gmail.com" TargetMode="External"/><Relationship Id="rId47" Type="http://schemas.openxmlformats.org/officeDocument/2006/relationships/hyperlink" Target="mailto:poroyeoluwaseun@gmail.com" TargetMode="External"/><Relationship Id="rId68" Type="http://schemas.openxmlformats.org/officeDocument/2006/relationships/hyperlink" Target="mailto:michealayo632@gmail.com" TargetMode="External"/><Relationship Id="rId89" Type="http://schemas.openxmlformats.org/officeDocument/2006/relationships/hyperlink" Target="mailto:falanaayokunle73@gmail.com" TargetMode="External"/><Relationship Id="rId112" Type="http://schemas.openxmlformats.org/officeDocument/2006/relationships/hyperlink" Target="mailto:onadeko@gmail.com" TargetMode="External"/><Relationship Id="rId133" Type="http://schemas.openxmlformats.org/officeDocument/2006/relationships/hyperlink" Target="mailto:lasisi.oluwadamilare@yahoo.com" TargetMode="External"/><Relationship Id="rId154" Type="http://schemas.openxmlformats.org/officeDocument/2006/relationships/hyperlink" Target="mailto:jayeoladamilola21@gmail.com" TargetMode="External"/><Relationship Id="rId175" Type="http://schemas.openxmlformats.org/officeDocument/2006/relationships/hyperlink" Target="mailto:waireolawolu@gmail.com" TargetMode="External"/><Relationship Id="rId196" Type="http://schemas.openxmlformats.org/officeDocument/2006/relationships/hyperlink" Target="mailto:hermajesty.3575@gmail.com" TargetMode="External"/><Relationship Id="rId200" Type="http://schemas.openxmlformats.org/officeDocument/2006/relationships/hyperlink" Target="mailto:ojobola112@gmail.com" TargetMode="External"/><Relationship Id="rId16" Type="http://schemas.openxmlformats.org/officeDocument/2006/relationships/hyperlink" Target="mailto:cephaxokeowo@gmail.com" TargetMode="External"/><Relationship Id="rId221" Type="http://schemas.openxmlformats.org/officeDocument/2006/relationships/hyperlink" Target="mailto:ogunrukuestheroyindamola23@gmail.com" TargetMode="External"/><Relationship Id="rId37" Type="http://schemas.openxmlformats.org/officeDocument/2006/relationships/hyperlink" Target="mailto:ikuerowojoshua@gmail.com" TargetMode="External"/><Relationship Id="rId58" Type="http://schemas.openxmlformats.org/officeDocument/2006/relationships/hyperlink" Target="mailto:adeoluwaadegoke11@gmail.com" TargetMode="External"/><Relationship Id="rId79" Type="http://schemas.openxmlformats.org/officeDocument/2006/relationships/hyperlink" Target="mailto:oludimu.tobi@gmail.com" TargetMode="External"/><Relationship Id="rId102" Type="http://schemas.openxmlformats.org/officeDocument/2006/relationships/hyperlink" Target="mailto:oluwatomisinajayi250@yahoo.com" TargetMode="External"/><Relationship Id="rId123" Type="http://schemas.openxmlformats.org/officeDocument/2006/relationships/hyperlink" Target="mailto:johnsivoclaire4real@yahoo.com" TargetMode="External"/><Relationship Id="rId144" Type="http://schemas.openxmlformats.org/officeDocument/2006/relationships/hyperlink" Target="mailto:dzorlly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oladosuolayinka@aol.com" TargetMode="External"/><Relationship Id="rId117" Type="http://schemas.openxmlformats.org/officeDocument/2006/relationships/hyperlink" Target="mailto:Tobiloba.omoniyi@yahoo.com" TargetMode="External"/><Relationship Id="rId21" Type="http://schemas.openxmlformats.org/officeDocument/2006/relationships/hyperlink" Target="mailto:bravoblessing@yahoo.com" TargetMode="External"/><Relationship Id="rId42" Type="http://schemas.openxmlformats.org/officeDocument/2006/relationships/hyperlink" Target="mailto:shebawale@yahoo.com" TargetMode="External"/><Relationship Id="rId47" Type="http://schemas.openxmlformats.org/officeDocument/2006/relationships/hyperlink" Target="mailto:Esther.oguntokun@yahoo.com" TargetMode="External"/><Relationship Id="rId63" Type="http://schemas.openxmlformats.org/officeDocument/2006/relationships/hyperlink" Target="mailto:Okunnugaoluwatosin@yahoo.com" TargetMode="External"/><Relationship Id="rId68" Type="http://schemas.openxmlformats.org/officeDocument/2006/relationships/hyperlink" Target="mailto:ifedayojohn@gmail.com" TargetMode="External"/><Relationship Id="rId84" Type="http://schemas.openxmlformats.org/officeDocument/2006/relationships/hyperlink" Target="mailto:iyintitoijanusi@gmail.com" TargetMode="External"/><Relationship Id="rId89" Type="http://schemas.openxmlformats.org/officeDocument/2006/relationships/hyperlink" Target="mailto:adedayoelizabeth@yahoo.com" TargetMode="External"/><Relationship Id="rId112" Type="http://schemas.openxmlformats.org/officeDocument/2006/relationships/hyperlink" Target="mailto:samtitiladunayo@yahoo.com" TargetMode="External"/><Relationship Id="rId133" Type="http://schemas.openxmlformats.org/officeDocument/2006/relationships/hyperlink" Target="mailto:Powe74@gmail.com" TargetMode="External"/><Relationship Id="rId138" Type="http://schemas.openxmlformats.org/officeDocument/2006/relationships/hyperlink" Target="mailto:Adeyinkaolusegun29@gmail.com" TargetMode="External"/><Relationship Id="rId154" Type="http://schemas.openxmlformats.org/officeDocument/2006/relationships/hyperlink" Target="mailto:Pelumi_pelumi@yahoo.co.uk" TargetMode="External"/><Relationship Id="rId159" Type="http://schemas.openxmlformats.org/officeDocument/2006/relationships/hyperlink" Target="mailto:Agbetola24@gmail.com" TargetMode="External"/><Relationship Id="rId175" Type="http://schemas.openxmlformats.org/officeDocument/2006/relationships/hyperlink" Target="mailto:keluvdoyun@gmail.com" TargetMode="External"/><Relationship Id="rId170" Type="http://schemas.openxmlformats.org/officeDocument/2006/relationships/hyperlink" Target="mailto:asigoh2@gmail.com" TargetMode="External"/><Relationship Id="rId16" Type="http://schemas.openxmlformats.org/officeDocument/2006/relationships/hyperlink" Target="mailto:dreliberty@gmail.com" TargetMode="External"/><Relationship Id="rId107" Type="http://schemas.openxmlformats.org/officeDocument/2006/relationships/hyperlink" Target="mailto:oyekolapetr@yahoo.com" TargetMode="External"/><Relationship Id="rId11" Type="http://schemas.openxmlformats.org/officeDocument/2006/relationships/hyperlink" Target="mailto:vikiflex@gmail.com" TargetMode="External"/><Relationship Id="rId32" Type="http://schemas.openxmlformats.org/officeDocument/2006/relationships/hyperlink" Target="mailto:damianosinache@gmail.com" TargetMode="External"/><Relationship Id="rId37" Type="http://schemas.openxmlformats.org/officeDocument/2006/relationships/hyperlink" Target="mailto:Odetayo.boluwatife@GMAIL.com" TargetMode="External"/><Relationship Id="rId53" Type="http://schemas.openxmlformats.org/officeDocument/2006/relationships/hyperlink" Target="mailto:Oluponna22@yahoo.com" TargetMode="External"/><Relationship Id="rId58" Type="http://schemas.openxmlformats.org/officeDocument/2006/relationships/hyperlink" Target="mailto:Olaleyeisrael99@livemail.com" TargetMode="External"/><Relationship Id="rId74" Type="http://schemas.openxmlformats.org/officeDocument/2006/relationships/hyperlink" Target="mailto:vincentphilipemmam@yahoo.co" TargetMode="External"/><Relationship Id="rId79" Type="http://schemas.openxmlformats.org/officeDocument/2006/relationships/hyperlink" Target="mailto:jolaoyesamuel12@gmail.com" TargetMode="External"/><Relationship Id="rId102" Type="http://schemas.openxmlformats.org/officeDocument/2006/relationships/hyperlink" Target="mailto:Ajayimoyinoluwa895@yahoo.com" TargetMode="External"/><Relationship Id="rId123" Type="http://schemas.openxmlformats.org/officeDocument/2006/relationships/hyperlink" Target="mailto:Reubenquadri5@gmail.com" TargetMode="External"/><Relationship Id="rId128" Type="http://schemas.openxmlformats.org/officeDocument/2006/relationships/hyperlink" Target="mailto:Olusola.olaya@yahoo.com" TargetMode="External"/><Relationship Id="rId144" Type="http://schemas.openxmlformats.org/officeDocument/2006/relationships/hyperlink" Target="mailto:bjmary@gmail.com" TargetMode="External"/><Relationship Id="rId149" Type="http://schemas.openxmlformats.org/officeDocument/2006/relationships/hyperlink" Target="mailto:oluwabori@gmail.com" TargetMode="External"/><Relationship Id="rId5" Type="http://schemas.openxmlformats.org/officeDocument/2006/relationships/hyperlink" Target="mailto:adebayooluwolet@yahoo.com" TargetMode="External"/><Relationship Id="rId90" Type="http://schemas.openxmlformats.org/officeDocument/2006/relationships/hyperlink" Target="mailto:ireoluwaenoch@gmail.com" TargetMode="External"/><Relationship Id="rId95" Type="http://schemas.openxmlformats.org/officeDocument/2006/relationships/hyperlink" Target="mailto:Samyom1995@yahoo.com" TargetMode="External"/><Relationship Id="rId160" Type="http://schemas.openxmlformats.org/officeDocument/2006/relationships/hyperlink" Target="mailto:akinroayodeji@yahoo.com" TargetMode="External"/><Relationship Id="rId165" Type="http://schemas.openxmlformats.org/officeDocument/2006/relationships/hyperlink" Target="mailto:Kayodesherifadebayo@gmail.com" TargetMode="External"/><Relationship Id="rId181" Type="http://schemas.openxmlformats.org/officeDocument/2006/relationships/hyperlink" Target="mailto:Oyewole.kayode@yahoo.com" TargetMode="External"/><Relationship Id="rId22" Type="http://schemas.openxmlformats.org/officeDocument/2006/relationships/hyperlink" Target="mailto:oloruntobaagbelusi@y.com" TargetMode="External"/><Relationship Id="rId27" Type="http://schemas.openxmlformats.org/officeDocument/2006/relationships/hyperlink" Target="mailto:bukolaakintelure@gmail.com" TargetMode="External"/><Relationship Id="rId43" Type="http://schemas.openxmlformats.org/officeDocument/2006/relationships/hyperlink" Target="mailto:Richard.adetula@gmail.com" TargetMode="External"/><Relationship Id="rId48" Type="http://schemas.openxmlformats.org/officeDocument/2006/relationships/hyperlink" Target="mailto:Micade33@gmail.com" TargetMode="External"/><Relationship Id="rId64" Type="http://schemas.openxmlformats.org/officeDocument/2006/relationships/hyperlink" Target="mailto:Vadebayo16@yahoo.com" TargetMode="External"/><Relationship Id="rId69" Type="http://schemas.openxmlformats.org/officeDocument/2006/relationships/hyperlink" Target="mailto:garbaj@gmail.com" TargetMode="External"/><Relationship Id="rId113" Type="http://schemas.openxmlformats.org/officeDocument/2006/relationships/hyperlink" Target="mailto:Emmabammy5@gmail.com" TargetMode="External"/><Relationship Id="rId118" Type="http://schemas.openxmlformats.org/officeDocument/2006/relationships/hyperlink" Target="mailto:Atomicwave2009@yahoo.com" TargetMode="External"/><Relationship Id="rId134" Type="http://schemas.openxmlformats.org/officeDocument/2006/relationships/hyperlink" Target="mailto:Fdalex09@yahoo.com" TargetMode="External"/><Relationship Id="rId139" Type="http://schemas.openxmlformats.org/officeDocument/2006/relationships/hyperlink" Target="mailto:holuwole@yahoo.com" TargetMode="External"/><Relationship Id="rId80" Type="http://schemas.openxmlformats.org/officeDocument/2006/relationships/hyperlink" Target="mailto:Sadeyeye44@yahoo.com" TargetMode="External"/><Relationship Id="rId85" Type="http://schemas.openxmlformats.org/officeDocument/2006/relationships/hyperlink" Target="mailto:Adejumo_olajide@yahoo.com" TargetMode="External"/><Relationship Id="rId150" Type="http://schemas.openxmlformats.org/officeDocument/2006/relationships/hyperlink" Target="mailto:Dami_tunbi@yahoo.com" TargetMode="External"/><Relationship Id="rId155" Type="http://schemas.openxmlformats.org/officeDocument/2006/relationships/hyperlink" Target="mailto:topzy@gmail.com" TargetMode="External"/><Relationship Id="rId171" Type="http://schemas.openxmlformats.org/officeDocument/2006/relationships/hyperlink" Target="mailto:Taylotseyi45@yahoo.com" TargetMode="External"/><Relationship Id="rId176" Type="http://schemas.openxmlformats.org/officeDocument/2006/relationships/hyperlink" Target="mailto:Toallmypals2005@yahoo.com" TargetMode="External"/><Relationship Id="rId12" Type="http://schemas.openxmlformats.org/officeDocument/2006/relationships/hyperlink" Target="mailto:OLADEHINDEOJO@GMAIL.COM" TargetMode="External"/><Relationship Id="rId17" Type="http://schemas.openxmlformats.org/officeDocument/2006/relationships/hyperlink" Target="mailto:hesjithe@gmail.com" TargetMode="External"/><Relationship Id="rId33" Type="http://schemas.openxmlformats.org/officeDocument/2006/relationships/hyperlink" Target="mailto:Yincute4real@gmail.com" TargetMode="External"/><Relationship Id="rId38" Type="http://schemas.openxmlformats.org/officeDocument/2006/relationships/hyperlink" Target="mailto:adeayoogundanna@yahoo.com" TargetMode="External"/><Relationship Id="rId59" Type="http://schemas.openxmlformats.org/officeDocument/2006/relationships/hyperlink" Target="mailto:olamultiplylaw@yahoo.com" TargetMode="External"/><Relationship Id="rId103" Type="http://schemas.openxmlformats.org/officeDocument/2006/relationships/hyperlink" Target="mailto:Andy_valentino007@yahoo.com" TargetMode="External"/><Relationship Id="rId108" Type="http://schemas.openxmlformats.org/officeDocument/2006/relationships/hyperlink" Target="mailto:josephbabafemi@yahoo.com" TargetMode="External"/><Relationship Id="rId124" Type="http://schemas.openxmlformats.org/officeDocument/2006/relationships/hyperlink" Target="mailto:Excelvictosin19@gmail.com" TargetMode="External"/><Relationship Id="rId129" Type="http://schemas.openxmlformats.org/officeDocument/2006/relationships/hyperlink" Target="mailto:dapsjoe@yahoo.com" TargetMode="External"/><Relationship Id="rId54" Type="http://schemas.openxmlformats.org/officeDocument/2006/relationships/hyperlink" Target="mailto:Iyanutobi1@yahoo.com" TargetMode="External"/><Relationship Id="rId70" Type="http://schemas.openxmlformats.org/officeDocument/2006/relationships/hyperlink" Target="mailto:tosinagboolalizzy@yahoo.com" TargetMode="External"/><Relationship Id="rId75" Type="http://schemas.openxmlformats.org/officeDocument/2006/relationships/hyperlink" Target="mailto:pelumiakinyele@gmail.com" TargetMode="External"/><Relationship Id="rId91" Type="http://schemas.openxmlformats.org/officeDocument/2006/relationships/hyperlink" Target="mailto:samakkybest@gmail.com" TargetMode="External"/><Relationship Id="rId96" Type="http://schemas.openxmlformats.org/officeDocument/2006/relationships/hyperlink" Target="mailto:Highteewzy.mo@gmail.com" TargetMode="External"/><Relationship Id="rId140" Type="http://schemas.openxmlformats.org/officeDocument/2006/relationships/hyperlink" Target="mailto:Jtayo1@yahoo.com" TargetMode="External"/><Relationship Id="rId145" Type="http://schemas.openxmlformats.org/officeDocument/2006/relationships/hyperlink" Target="mailto:Supergal0001@yahoo.com" TargetMode="External"/><Relationship Id="rId161" Type="http://schemas.openxmlformats.org/officeDocument/2006/relationships/hyperlink" Target="mailto:hardesuwa@yahoo.com" TargetMode="External"/><Relationship Id="rId166" Type="http://schemas.openxmlformats.org/officeDocument/2006/relationships/hyperlink" Target="mailto:Dayuscharity2003@yahoo.com" TargetMode="External"/><Relationship Id="rId1" Type="http://schemas.openxmlformats.org/officeDocument/2006/relationships/hyperlink" Target="mailto:peachesakinrotoye@gmail.com" TargetMode="External"/><Relationship Id="rId6" Type="http://schemas.openxmlformats.org/officeDocument/2006/relationships/hyperlink" Target="mailto:OLUWASEGUN61@YAHOO.COM" TargetMode="External"/><Relationship Id="rId23" Type="http://schemas.openxmlformats.org/officeDocument/2006/relationships/hyperlink" Target="mailto:Kunleye25@gmail.com" TargetMode="External"/><Relationship Id="rId28" Type="http://schemas.openxmlformats.org/officeDocument/2006/relationships/hyperlink" Target="mailto:bestbukunmi@yahoo.com" TargetMode="External"/><Relationship Id="rId49" Type="http://schemas.openxmlformats.org/officeDocument/2006/relationships/hyperlink" Target="mailto:Spik2ayo@gmail.com" TargetMode="External"/><Relationship Id="rId114" Type="http://schemas.openxmlformats.org/officeDocument/2006/relationships/hyperlink" Target="mailto:heritageolaleye@gmail.com" TargetMode="External"/><Relationship Id="rId119" Type="http://schemas.openxmlformats.org/officeDocument/2006/relationships/hyperlink" Target="mailto:Daryeleen485510@gmail.com" TargetMode="External"/><Relationship Id="rId44" Type="http://schemas.openxmlformats.org/officeDocument/2006/relationships/hyperlink" Target="mailto:g.prestige@yahoo.com" TargetMode="External"/><Relationship Id="rId60" Type="http://schemas.openxmlformats.org/officeDocument/2006/relationships/hyperlink" Target="mailto:olukay_olas@yahoo.com" TargetMode="External"/><Relationship Id="rId65" Type="http://schemas.openxmlformats.org/officeDocument/2006/relationships/hyperlink" Target="mailto:Olajideademola84@gmail.com" TargetMode="External"/><Relationship Id="rId81" Type="http://schemas.openxmlformats.org/officeDocument/2006/relationships/hyperlink" Target="mailto:oluwaseyiadaramola@yahoo.com" TargetMode="External"/><Relationship Id="rId86" Type="http://schemas.openxmlformats.org/officeDocument/2006/relationships/hyperlink" Target="mailto:kadedokunmaria@yahoo.com" TargetMode="External"/><Relationship Id="rId130" Type="http://schemas.openxmlformats.org/officeDocument/2006/relationships/hyperlink" Target="mailto:Ayomiposiabiola@yahoo.com" TargetMode="External"/><Relationship Id="rId135" Type="http://schemas.openxmlformats.org/officeDocument/2006/relationships/hyperlink" Target="mailto:Adefisoyeblessing@rocketmail.com" TargetMode="External"/><Relationship Id="rId151" Type="http://schemas.openxmlformats.org/officeDocument/2006/relationships/hyperlink" Target="mailto:johnolukoju@gmail.com" TargetMode="External"/><Relationship Id="rId156" Type="http://schemas.openxmlformats.org/officeDocument/2006/relationships/hyperlink" Target="mailto:D2dmama@yahoo.com" TargetMode="External"/><Relationship Id="rId177" Type="http://schemas.openxmlformats.org/officeDocument/2006/relationships/hyperlink" Target="mailto:obewediet@yahoo.com" TargetMode="External"/><Relationship Id="rId4" Type="http://schemas.openxmlformats.org/officeDocument/2006/relationships/hyperlink" Target="mailto:OLUWAFEMMY7@GMAIL.COM" TargetMode="External"/><Relationship Id="rId9" Type="http://schemas.openxmlformats.org/officeDocument/2006/relationships/hyperlink" Target="mailto:Fiola_tolulope@yahoo.com" TargetMode="External"/><Relationship Id="rId172" Type="http://schemas.openxmlformats.org/officeDocument/2006/relationships/hyperlink" Target="mailto:Odunayo4path@yahoo.com" TargetMode="External"/><Relationship Id="rId180" Type="http://schemas.openxmlformats.org/officeDocument/2006/relationships/hyperlink" Target="mailto:adegborioyedavid@gmail.com" TargetMode="External"/><Relationship Id="rId13" Type="http://schemas.openxmlformats.org/officeDocument/2006/relationships/hyperlink" Target="mailto:jeremiahdejijoseph@y.com" TargetMode="External"/><Relationship Id="rId18" Type="http://schemas.openxmlformats.org/officeDocument/2006/relationships/hyperlink" Target="mailto:Aladefunmilayo67@y.com" TargetMode="External"/><Relationship Id="rId39" Type="http://schemas.openxmlformats.org/officeDocument/2006/relationships/hyperlink" Target="mailto:adeogunololade@gmail.com" TargetMode="External"/><Relationship Id="rId109" Type="http://schemas.openxmlformats.org/officeDocument/2006/relationships/hyperlink" Target="mailto:Adekunle21952@gmail.com" TargetMode="External"/><Relationship Id="rId34" Type="http://schemas.openxmlformats.org/officeDocument/2006/relationships/hyperlink" Target="mailto:awopetumartina@gmail.com" TargetMode="External"/><Relationship Id="rId50" Type="http://schemas.openxmlformats.org/officeDocument/2006/relationships/hyperlink" Target="mailto:johnenobong13@gmail.com" TargetMode="External"/><Relationship Id="rId55" Type="http://schemas.openxmlformats.org/officeDocument/2006/relationships/hyperlink" Target="mailto:Olajustin810@gmail.com" TargetMode="External"/><Relationship Id="rId76" Type="http://schemas.openxmlformats.org/officeDocument/2006/relationships/hyperlink" Target="mailto:Fagbamigbe_taiwo@yahoo.com" TargetMode="External"/><Relationship Id="rId97" Type="http://schemas.openxmlformats.org/officeDocument/2006/relationships/hyperlink" Target="mailto:floxybright@rocketmail.com" TargetMode="External"/><Relationship Id="rId104" Type="http://schemas.openxmlformats.org/officeDocument/2006/relationships/hyperlink" Target="mailto:tolulopeakinkunmi@yahoo.com" TargetMode="External"/><Relationship Id="rId120" Type="http://schemas.openxmlformats.org/officeDocument/2006/relationships/hyperlink" Target="mailto:Niflex000@gmail.com" TargetMode="External"/><Relationship Id="rId125" Type="http://schemas.openxmlformats.org/officeDocument/2006/relationships/hyperlink" Target="mailto:joushman@yahoo.com" TargetMode="External"/><Relationship Id="rId141" Type="http://schemas.openxmlformats.org/officeDocument/2006/relationships/hyperlink" Target="mailto:abidakunifedayo@yahoo.com" TargetMode="External"/><Relationship Id="rId146" Type="http://schemas.openxmlformats.org/officeDocument/2006/relationships/hyperlink" Target="mailto:Samuelforgod@yahoo.com" TargetMode="External"/><Relationship Id="rId167" Type="http://schemas.openxmlformats.org/officeDocument/2006/relationships/hyperlink" Target="mailto:Adeya_mccoy@yahoo.com" TargetMode="External"/><Relationship Id="rId7" Type="http://schemas.openxmlformats.org/officeDocument/2006/relationships/hyperlink" Target="mailto:Sijuade.oyeniran14@y.com" TargetMode="External"/><Relationship Id="rId71" Type="http://schemas.openxmlformats.org/officeDocument/2006/relationships/hyperlink" Target="mailto:phunkepet@yahoo.com" TargetMode="External"/><Relationship Id="rId92" Type="http://schemas.openxmlformats.org/officeDocument/2006/relationships/hyperlink" Target="mailto:Edrisedris09@yahoo.com" TargetMode="External"/><Relationship Id="rId162" Type="http://schemas.openxmlformats.org/officeDocument/2006/relationships/hyperlink" Target="mailto:Fashtee92@gmail.com" TargetMode="External"/><Relationship Id="rId2" Type="http://schemas.openxmlformats.org/officeDocument/2006/relationships/hyperlink" Target="mailto:Oladimejibabatunde665@y.com" TargetMode="External"/><Relationship Id="rId29" Type="http://schemas.openxmlformats.org/officeDocument/2006/relationships/hyperlink" Target="mailto:Yinkson01@yahoo.com" TargetMode="External"/><Relationship Id="rId24" Type="http://schemas.openxmlformats.org/officeDocument/2006/relationships/hyperlink" Target="mailto:imorhoacharles@gmai.com" TargetMode="External"/><Relationship Id="rId40" Type="http://schemas.openxmlformats.org/officeDocument/2006/relationships/hyperlink" Target="mailto:sundayakinseye@yahoo.com" TargetMode="External"/><Relationship Id="rId45" Type="http://schemas.openxmlformats.org/officeDocument/2006/relationships/hyperlink" Target="mailto:amoredamilola@gmail.com" TargetMode="External"/><Relationship Id="rId66" Type="http://schemas.openxmlformats.org/officeDocument/2006/relationships/hyperlink" Target="mailto:ejigashadrach@yahoo.com" TargetMode="External"/><Relationship Id="rId87" Type="http://schemas.openxmlformats.org/officeDocument/2006/relationships/hyperlink" Target="mailto:onosiaeffe@gmail.com" TargetMode="External"/><Relationship Id="rId110" Type="http://schemas.openxmlformats.org/officeDocument/2006/relationships/hyperlink" Target="mailto:Akindolure9@gmail.com" TargetMode="External"/><Relationship Id="rId115" Type="http://schemas.openxmlformats.org/officeDocument/2006/relationships/hyperlink" Target="mailto:opeyemigideon@yahoo.com" TargetMode="External"/><Relationship Id="rId131" Type="http://schemas.openxmlformats.org/officeDocument/2006/relationships/hyperlink" Target="mailto:Jolatosin23@yahoo.com" TargetMode="External"/><Relationship Id="rId136" Type="http://schemas.openxmlformats.org/officeDocument/2006/relationships/hyperlink" Target="mailto:alaskaaladetan@yahoo.com" TargetMode="External"/><Relationship Id="rId157" Type="http://schemas.openxmlformats.org/officeDocument/2006/relationships/hyperlink" Target="mailto:Bimpay2013@yahoo.com" TargetMode="External"/><Relationship Id="rId178" Type="http://schemas.openxmlformats.org/officeDocument/2006/relationships/hyperlink" Target="mailto:Littlerammy4luv@yahoo.com" TargetMode="External"/><Relationship Id="rId61" Type="http://schemas.openxmlformats.org/officeDocument/2006/relationships/hyperlink" Target="mailto:l.oyekanmi@yahoo.com" TargetMode="External"/><Relationship Id="rId82" Type="http://schemas.openxmlformats.org/officeDocument/2006/relationships/hyperlink" Target="mailto:seyiewebajo@gmail.com" TargetMode="External"/><Relationship Id="rId152" Type="http://schemas.openxmlformats.org/officeDocument/2006/relationships/hyperlink" Target="mailto:Ige.wilson.tosin@gmail.com" TargetMode="External"/><Relationship Id="rId173" Type="http://schemas.openxmlformats.org/officeDocument/2006/relationships/hyperlink" Target="mailto:simileoluwafalade@yahoo.co.uk" TargetMode="External"/><Relationship Id="rId19" Type="http://schemas.openxmlformats.org/officeDocument/2006/relationships/hyperlink" Target="mailto:yeledeyele@gmail.com" TargetMode="External"/><Relationship Id="rId14" Type="http://schemas.openxmlformats.org/officeDocument/2006/relationships/hyperlink" Target="mailto:Seyihbk87@hotmail.com" TargetMode="External"/><Relationship Id="rId30" Type="http://schemas.openxmlformats.org/officeDocument/2006/relationships/hyperlink" Target="mailto:desmondimuere@gmail.com" TargetMode="External"/><Relationship Id="rId35" Type="http://schemas.openxmlformats.org/officeDocument/2006/relationships/hyperlink" Target="mailto:abimbolajoshua24@gmail.com" TargetMode="External"/><Relationship Id="rId56" Type="http://schemas.openxmlformats.org/officeDocument/2006/relationships/hyperlink" Target="mailto:Sanvilla69@yahoo.com" TargetMode="External"/><Relationship Id="rId77" Type="http://schemas.openxmlformats.org/officeDocument/2006/relationships/hyperlink" Target="mailto:Godwinmasebinu@yahoo.com" TargetMode="External"/><Relationship Id="rId100" Type="http://schemas.openxmlformats.org/officeDocument/2006/relationships/hyperlink" Target="mailto:olabayomisola@yahoo.com" TargetMode="External"/><Relationship Id="rId105" Type="http://schemas.openxmlformats.org/officeDocument/2006/relationships/hyperlink" Target="mailto:damilola.olajide@yahoo.com" TargetMode="External"/><Relationship Id="rId126" Type="http://schemas.openxmlformats.org/officeDocument/2006/relationships/hyperlink" Target="mailto:olatimileyindamilola@gmail.com" TargetMode="External"/><Relationship Id="rId147" Type="http://schemas.openxmlformats.org/officeDocument/2006/relationships/hyperlink" Target="mailto:Daramola_tolu@yahoo.com" TargetMode="External"/><Relationship Id="rId168" Type="http://schemas.openxmlformats.org/officeDocument/2006/relationships/hyperlink" Target="mailto:thayutha@yahoo.com" TargetMode="External"/><Relationship Id="rId8" Type="http://schemas.openxmlformats.org/officeDocument/2006/relationships/hyperlink" Target="mailto:OPSY4IL@YAHOO.COM" TargetMode="External"/><Relationship Id="rId51" Type="http://schemas.openxmlformats.org/officeDocument/2006/relationships/hyperlink" Target="mailto:lumideez@yahoo.co.uk" TargetMode="External"/><Relationship Id="rId72" Type="http://schemas.openxmlformats.org/officeDocument/2006/relationships/hyperlink" Target="mailto:Davidkehinde41@yahoo.com" TargetMode="External"/><Relationship Id="rId93" Type="http://schemas.openxmlformats.org/officeDocument/2006/relationships/hyperlink" Target="mailto:Pokoye91@gmail.com" TargetMode="External"/><Relationship Id="rId98" Type="http://schemas.openxmlformats.org/officeDocument/2006/relationships/hyperlink" Target="mailto:franciscares4u@gmail.com" TargetMode="External"/><Relationship Id="rId121" Type="http://schemas.openxmlformats.org/officeDocument/2006/relationships/hyperlink" Target="mailto:onibiabisola1@yahoo.com" TargetMode="External"/><Relationship Id="rId142" Type="http://schemas.openxmlformats.org/officeDocument/2006/relationships/hyperlink" Target="mailto:Ifecoker03@gmail.com" TargetMode="External"/><Relationship Id="rId163" Type="http://schemas.openxmlformats.org/officeDocument/2006/relationships/hyperlink" Target="mailto:Oluwafemi4me@gmail.com" TargetMode="External"/><Relationship Id="rId3" Type="http://schemas.openxmlformats.org/officeDocument/2006/relationships/hyperlink" Target="mailto:GBENGAGIDEONF@GMAIL.COM" TargetMode="External"/><Relationship Id="rId25" Type="http://schemas.openxmlformats.org/officeDocument/2006/relationships/hyperlink" Target="mailto:adegbulugbenifemi@gmail.com" TargetMode="External"/><Relationship Id="rId46" Type="http://schemas.openxmlformats.org/officeDocument/2006/relationships/hyperlink" Target="mailto:Holuwarsheunjenny77@gmail.com" TargetMode="External"/><Relationship Id="rId67" Type="http://schemas.openxmlformats.org/officeDocument/2006/relationships/hyperlink" Target="mailto:Lolade.okeleye2@gmail.com" TargetMode="External"/><Relationship Id="rId116" Type="http://schemas.openxmlformats.org/officeDocument/2006/relationships/hyperlink" Target="mailto:Asholadavid@ymail.com" TargetMode="External"/><Relationship Id="rId137" Type="http://schemas.openxmlformats.org/officeDocument/2006/relationships/hyperlink" Target="mailto:Medoye.olusoji@yahoo.com" TargetMode="External"/><Relationship Id="rId158" Type="http://schemas.openxmlformats.org/officeDocument/2006/relationships/hyperlink" Target="mailto:meedris@yahoo.com" TargetMode="External"/><Relationship Id="rId20" Type="http://schemas.openxmlformats.org/officeDocument/2006/relationships/hyperlink" Target="mailto:ADODOOLAOLUWA@GMAIL.COM" TargetMode="External"/><Relationship Id="rId41" Type="http://schemas.openxmlformats.org/officeDocument/2006/relationships/hyperlink" Target="mailto:cynthiakegbe@yahoo.com" TargetMode="External"/><Relationship Id="rId62" Type="http://schemas.openxmlformats.org/officeDocument/2006/relationships/hyperlink" Target="mailto:mercyoladejo@yahoo.com" TargetMode="External"/><Relationship Id="rId83" Type="http://schemas.openxmlformats.org/officeDocument/2006/relationships/hyperlink" Target="mailto:Larryluv4christ@yahoo.com" TargetMode="External"/><Relationship Id="rId88" Type="http://schemas.openxmlformats.org/officeDocument/2006/relationships/hyperlink" Target="mailto:bimbowande@gmail.com" TargetMode="External"/><Relationship Id="rId111" Type="http://schemas.openxmlformats.org/officeDocument/2006/relationships/hyperlink" Target="mailto:paulobotos@gmail.com" TargetMode="External"/><Relationship Id="rId132" Type="http://schemas.openxmlformats.org/officeDocument/2006/relationships/hyperlink" Target="mailto:emmydissolis@yahoo.com" TargetMode="External"/><Relationship Id="rId153" Type="http://schemas.openxmlformats.org/officeDocument/2006/relationships/hyperlink" Target="mailto:olufolayemi@gmail.com" TargetMode="External"/><Relationship Id="rId174" Type="http://schemas.openxmlformats.org/officeDocument/2006/relationships/hyperlink" Target="mailto:olasphushorolasphushor@yahoo.c" TargetMode="External"/><Relationship Id="rId179" Type="http://schemas.openxmlformats.org/officeDocument/2006/relationships/hyperlink" Target="mailto:akindebrah@gmail.com" TargetMode="External"/><Relationship Id="rId15" Type="http://schemas.openxmlformats.org/officeDocument/2006/relationships/hyperlink" Target="mailto:Mail2hellen009@y.com" TargetMode="External"/><Relationship Id="rId36" Type="http://schemas.openxmlformats.org/officeDocument/2006/relationships/hyperlink" Target="mailto:Toluwase103@gmail.com" TargetMode="External"/><Relationship Id="rId57" Type="http://schemas.openxmlformats.org/officeDocument/2006/relationships/hyperlink" Target="mailto:sirshanme@gmail.com" TargetMode="External"/><Relationship Id="rId106" Type="http://schemas.openxmlformats.org/officeDocument/2006/relationships/hyperlink" Target="mailto:isaacolap@yahoo.com" TargetMode="External"/><Relationship Id="rId127" Type="http://schemas.openxmlformats.org/officeDocument/2006/relationships/hyperlink" Target="mailto:V_adeyeye@yahoo.com" TargetMode="External"/><Relationship Id="rId10" Type="http://schemas.openxmlformats.org/officeDocument/2006/relationships/hyperlink" Target="mailto:adeniyielijah@y.com" TargetMode="External"/><Relationship Id="rId31" Type="http://schemas.openxmlformats.org/officeDocument/2006/relationships/hyperlink" Target="mailto:padelegan@yahoo.com" TargetMode="External"/><Relationship Id="rId52" Type="http://schemas.openxmlformats.org/officeDocument/2006/relationships/hyperlink" Target="mailto:Abiodun.olanbiwonnu@mail.com" TargetMode="External"/><Relationship Id="rId73" Type="http://schemas.openxmlformats.org/officeDocument/2006/relationships/hyperlink" Target="mailto:Vot4god@yahoo.com" TargetMode="External"/><Relationship Id="rId78" Type="http://schemas.openxmlformats.org/officeDocument/2006/relationships/hyperlink" Target="mailto:Onibiabisola1@yahoo.com" TargetMode="External"/><Relationship Id="rId94" Type="http://schemas.openxmlformats.org/officeDocument/2006/relationships/hyperlink" Target="mailto:oyediraoyewole@gmail.com" TargetMode="External"/><Relationship Id="rId99" Type="http://schemas.openxmlformats.org/officeDocument/2006/relationships/hyperlink" Target="mailto:Talk2mcgcleff@yahoomail.com" TargetMode="External"/><Relationship Id="rId101" Type="http://schemas.openxmlformats.org/officeDocument/2006/relationships/hyperlink" Target="mailto:ayebamerudoyin@yahoo.com" TargetMode="External"/><Relationship Id="rId122" Type="http://schemas.openxmlformats.org/officeDocument/2006/relationships/hyperlink" Target="mailto:ADUBITEMITOPE@GMAIL.com" TargetMode="External"/><Relationship Id="rId143" Type="http://schemas.openxmlformats.org/officeDocument/2006/relationships/hyperlink" Target="mailto:nwakaegonzeteh@yahoo.com" TargetMode="External"/><Relationship Id="rId148" Type="http://schemas.openxmlformats.org/officeDocument/2006/relationships/hyperlink" Target="mailto:adegbitefemisamson@gmail.com" TargetMode="External"/><Relationship Id="rId164" Type="http://schemas.openxmlformats.org/officeDocument/2006/relationships/hyperlink" Target="mailto:raphealsobowale@gmail.com" TargetMode="External"/><Relationship Id="rId169" Type="http://schemas.openxmlformats.org/officeDocument/2006/relationships/hyperlink" Target="mailto:Clavicord4jazz@gmail.com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emmanuel4glory44@yahoo.com" TargetMode="External"/><Relationship Id="rId21" Type="http://schemas.openxmlformats.org/officeDocument/2006/relationships/hyperlink" Target="mailto:alonge4all@yahoo.com" TargetMode="External"/><Relationship Id="rId42" Type="http://schemas.openxmlformats.org/officeDocument/2006/relationships/hyperlink" Target="mailto:ledo_sam10@yahoo.com" TargetMode="External"/><Relationship Id="rId47" Type="http://schemas.openxmlformats.org/officeDocument/2006/relationships/hyperlink" Target="mailto:adejoh_emmanuel2000@yahoo.com" TargetMode="External"/><Relationship Id="rId63" Type="http://schemas.openxmlformats.org/officeDocument/2006/relationships/hyperlink" Target="mailto:valerizing4luv@yahoo.com" TargetMode="External"/><Relationship Id="rId68" Type="http://schemas.openxmlformats.org/officeDocument/2006/relationships/hyperlink" Target="mailto:kejiojebode@yahoo.com" TargetMode="External"/><Relationship Id="rId84" Type="http://schemas.openxmlformats.org/officeDocument/2006/relationships/hyperlink" Target="mailto:mikkimonreal@yahoo.com" TargetMode="External"/><Relationship Id="rId89" Type="http://schemas.openxmlformats.org/officeDocument/2006/relationships/hyperlink" Target="mailto:seungracea@yahoo.com" TargetMode="External"/><Relationship Id="rId7" Type="http://schemas.openxmlformats.org/officeDocument/2006/relationships/hyperlink" Target="mailto:jummiepeace@yahoo.com" TargetMode="External"/><Relationship Id="rId71" Type="http://schemas.openxmlformats.org/officeDocument/2006/relationships/hyperlink" Target="mailto:samvictor9055@yahoo.com" TargetMode="External"/><Relationship Id="rId92" Type="http://schemas.openxmlformats.org/officeDocument/2006/relationships/hyperlink" Target="mailto:jegedeolanoy_1@yahoo.com" TargetMode="External"/><Relationship Id="rId2" Type="http://schemas.openxmlformats.org/officeDocument/2006/relationships/hyperlink" Target="mailto:talk2bigekun@yahoo.com" TargetMode="External"/><Relationship Id="rId16" Type="http://schemas.openxmlformats.org/officeDocument/2006/relationships/hyperlink" Target="mailto:thonie2460@yahoo.com" TargetMode="External"/><Relationship Id="rId29" Type="http://schemas.openxmlformats.org/officeDocument/2006/relationships/hyperlink" Target="mailto:kellyjeff00@yahoo.com" TargetMode="External"/><Relationship Id="rId11" Type="http://schemas.openxmlformats.org/officeDocument/2006/relationships/hyperlink" Target="mailto:tellybrinkle@gmail.com" TargetMode="External"/><Relationship Id="rId24" Type="http://schemas.openxmlformats.org/officeDocument/2006/relationships/hyperlink" Target="mailto:steph4bak@yahoo.com" TargetMode="External"/><Relationship Id="rId32" Type="http://schemas.openxmlformats.org/officeDocument/2006/relationships/hyperlink" Target="mailto:oluojoemmanuel@yahoo.com" TargetMode="External"/><Relationship Id="rId37" Type="http://schemas.openxmlformats.org/officeDocument/2006/relationships/hyperlink" Target="mailto:captjopaul@yahoo.com" TargetMode="External"/><Relationship Id="rId40" Type="http://schemas.openxmlformats.org/officeDocument/2006/relationships/hyperlink" Target="mailto:anulus4uall@yahoo.com" TargetMode="External"/><Relationship Id="rId45" Type="http://schemas.openxmlformats.org/officeDocument/2006/relationships/hyperlink" Target="mailto:sola4succes@rocketmail.com" TargetMode="External"/><Relationship Id="rId53" Type="http://schemas.openxmlformats.org/officeDocument/2006/relationships/hyperlink" Target="mailto:awonusiolajide@yahoo.com" TargetMode="External"/><Relationship Id="rId58" Type="http://schemas.openxmlformats.org/officeDocument/2006/relationships/hyperlink" Target="mailto:gabo4success@yahoo.com" TargetMode="External"/><Relationship Id="rId66" Type="http://schemas.openxmlformats.org/officeDocument/2006/relationships/hyperlink" Target="mailto:sege4luv99@gmail.com" TargetMode="External"/><Relationship Id="rId74" Type="http://schemas.openxmlformats.org/officeDocument/2006/relationships/hyperlink" Target="mailto:olorunfemijoy@gmail.com" TargetMode="External"/><Relationship Id="rId79" Type="http://schemas.openxmlformats.org/officeDocument/2006/relationships/hyperlink" Target="mailto:edun2014@gmail.com" TargetMode="External"/><Relationship Id="rId87" Type="http://schemas.openxmlformats.org/officeDocument/2006/relationships/hyperlink" Target="mailto:mosunmolakofoworola@gmail.com" TargetMode="External"/><Relationship Id="rId102" Type="http://schemas.openxmlformats.org/officeDocument/2006/relationships/hyperlink" Target="mailto:Bahme.abe125@gmail.com" TargetMode="External"/><Relationship Id="rId5" Type="http://schemas.openxmlformats.org/officeDocument/2006/relationships/hyperlink" Target="mailto:Jotinica@yahoo.com" TargetMode="External"/><Relationship Id="rId61" Type="http://schemas.openxmlformats.org/officeDocument/2006/relationships/hyperlink" Target="mailto:malikoshos@yahoo.com" TargetMode="External"/><Relationship Id="rId82" Type="http://schemas.openxmlformats.org/officeDocument/2006/relationships/hyperlink" Target="mailto:chi.azike@yahoo.com" TargetMode="External"/><Relationship Id="rId90" Type="http://schemas.openxmlformats.org/officeDocument/2006/relationships/hyperlink" Target="mailto:purposevessel01@gmail.com" TargetMode="External"/><Relationship Id="rId95" Type="http://schemas.openxmlformats.org/officeDocument/2006/relationships/hyperlink" Target="mailto:m2funky88@yahoo.com" TargetMode="External"/><Relationship Id="rId19" Type="http://schemas.openxmlformats.org/officeDocument/2006/relationships/hyperlink" Target="mailto:graceevangelist@gmail.com" TargetMode="External"/><Relationship Id="rId14" Type="http://schemas.openxmlformats.org/officeDocument/2006/relationships/hyperlink" Target="mailto:alaberefolu23@yahoo.com" TargetMode="External"/><Relationship Id="rId22" Type="http://schemas.openxmlformats.org/officeDocument/2006/relationships/hyperlink" Target="mailto:dapson4cheers@gmail.com" TargetMode="External"/><Relationship Id="rId27" Type="http://schemas.openxmlformats.org/officeDocument/2006/relationships/hyperlink" Target="mailto:m.shawly@yahoo.com" TargetMode="External"/><Relationship Id="rId30" Type="http://schemas.openxmlformats.org/officeDocument/2006/relationships/hyperlink" Target="mailto:samuel_taiwoanu@yahoo.com" TargetMode="External"/><Relationship Id="rId35" Type="http://schemas.openxmlformats.org/officeDocument/2006/relationships/hyperlink" Target="mailto:tunnez_zito_enit20@yahoo.com" TargetMode="External"/><Relationship Id="rId43" Type="http://schemas.openxmlformats.org/officeDocument/2006/relationships/hyperlink" Target="mailto:ibitomiya1_4real@yahoo.com" TargetMode="External"/><Relationship Id="rId48" Type="http://schemas.openxmlformats.org/officeDocument/2006/relationships/hyperlink" Target="mailto:ajibolaabiolaahmed@gmail.com" TargetMode="External"/><Relationship Id="rId56" Type="http://schemas.openxmlformats.org/officeDocument/2006/relationships/hyperlink" Target="mailto:febibas@yahoo.com" TargetMode="External"/><Relationship Id="rId64" Type="http://schemas.openxmlformats.org/officeDocument/2006/relationships/hyperlink" Target="mailto:pinnaccle1992@yahoo.com" TargetMode="External"/><Relationship Id="rId69" Type="http://schemas.openxmlformats.org/officeDocument/2006/relationships/hyperlink" Target="mailto:Daremacaulay@gmail.com" TargetMode="External"/><Relationship Id="rId77" Type="http://schemas.openxmlformats.org/officeDocument/2006/relationships/hyperlink" Target="mailto:m.shawly@yahoo.com" TargetMode="External"/><Relationship Id="rId100" Type="http://schemas.openxmlformats.org/officeDocument/2006/relationships/hyperlink" Target="mailto:pixtolex2009@yahoo.com" TargetMode="External"/><Relationship Id="rId8" Type="http://schemas.openxmlformats.org/officeDocument/2006/relationships/hyperlink" Target="mailto:darmy4god@yahoo.com" TargetMode="External"/><Relationship Id="rId51" Type="http://schemas.openxmlformats.org/officeDocument/2006/relationships/hyperlink" Target="mailto:six2kay@yahoo.com" TargetMode="External"/><Relationship Id="rId72" Type="http://schemas.openxmlformats.org/officeDocument/2006/relationships/hyperlink" Target="mailto:adesojikolawole@yahoo.com" TargetMode="External"/><Relationship Id="rId80" Type="http://schemas.openxmlformats.org/officeDocument/2006/relationships/hyperlink" Target="mailto:thoto50j@gmail.com" TargetMode="External"/><Relationship Id="rId85" Type="http://schemas.openxmlformats.org/officeDocument/2006/relationships/hyperlink" Target="mailto:bharms14@gmail.com" TargetMode="External"/><Relationship Id="rId93" Type="http://schemas.openxmlformats.org/officeDocument/2006/relationships/hyperlink" Target="mailto:ogundairosunday@yahoo.com" TargetMode="External"/><Relationship Id="rId98" Type="http://schemas.openxmlformats.org/officeDocument/2006/relationships/hyperlink" Target="mailto:adedejiezekiel28@yahoo.com" TargetMode="External"/><Relationship Id="rId3" Type="http://schemas.openxmlformats.org/officeDocument/2006/relationships/hyperlink" Target="mailto:adesho247@yahoo.com" TargetMode="External"/><Relationship Id="rId12" Type="http://schemas.openxmlformats.org/officeDocument/2006/relationships/hyperlink" Target="mailto:bunmie4sure@rocketmail.com" TargetMode="External"/><Relationship Id="rId17" Type="http://schemas.openxmlformats.org/officeDocument/2006/relationships/hyperlink" Target="mailto:shagzzy01@yahoo.com" TargetMode="External"/><Relationship Id="rId25" Type="http://schemas.openxmlformats.org/officeDocument/2006/relationships/hyperlink" Target="mailto:oluwaseunfalade72@yahoo.com" TargetMode="External"/><Relationship Id="rId33" Type="http://schemas.openxmlformats.org/officeDocument/2006/relationships/hyperlink" Target="mailto:victorogunsuyi@yahoo.com" TargetMode="External"/><Relationship Id="rId38" Type="http://schemas.openxmlformats.org/officeDocument/2006/relationships/hyperlink" Target="mailto:funkkydee@yahoo.com" TargetMode="External"/><Relationship Id="rId46" Type="http://schemas.openxmlformats.org/officeDocument/2006/relationships/hyperlink" Target="mailto:oyinomoakin2000@yahoo.com" TargetMode="External"/><Relationship Id="rId59" Type="http://schemas.openxmlformats.org/officeDocument/2006/relationships/hyperlink" Target="mailto:tjegzy21@gmail.com" TargetMode="External"/><Relationship Id="rId67" Type="http://schemas.openxmlformats.org/officeDocument/2006/relationships/hyperlink" Target="mailto:kehindeadetula@gmail.com" TargetMode="External"/><Relationship Id="rId103" Type="http://schemas.openxmlformats.org/officeDocument/2006/relationships/hyperlink" Target="mailto:obideyiboluwaji@gmail.com" TargetMode="External"/><Relationship Id="rId20" Type="http://schemas.openxmlformats.org/officeDocument/2006/relationships/hyperlink" Target="mailto:faniyanakintunde@gmail.com" TargetMode="External"/><Relationship Id="rId41" Type="http://schemas.openxmlformats.org/officeDocument/2006/relationships/hyperlink" Target="mailto:omonyoadenike@yahoo.com" TargetMode="External"/><Relationship Id="rId54" Type="http://schemas.openxmlformats.org/officeDocument/2006/relationships/hyperlink" Target="mailto:topsonakinwumi@yahoo.com" TargetMode="External"/><Relationship Id="rId62" Type="http://schemas.openxmlformats.org/officeDocument/2006/relationships/hyperlink" Target="mailto:kaloskeny@yahoo.com" TargetMode="External"/><Relationship Id="rId70" Type="http://schemas.openxmlformats.org/officeDocument/2006/relationships/hyperlink" Target="mailto:Lekinfuska@yahoo.com" TargetMode="External"/><Relationship Id="rId75" Type="http://schemas.openxmlformats.org/officeDocument/2006/relationships/hyperlink" Target="mailto:queenabigael08@yahoo.com" TargetMode="External"/><Relationship Id="rId83" Type="http://schemas.openxmlformats.org/officeDocument/2006/relationships/hyperlink" Target="mailto:righteounesskenny@gmail.com" TargetMode="External"/><Relationship Id="rId88" Type="http://schemas.openxmlformats.org/officeDocument/2006/relationships/hyperlink" Target="mailto:eddy_ekpe@yahoo.com" TargetMode="External"/><Relationship Id="rId91" Type="http://schemas.openxmlformats.org/officeDocument/2006/relationships/hyperlink" Target="mailto:bosbyakran@gmail.com" TargetMode="External"/><Relationship Id="rId96" Type="http://schemas.openxmlformats.org/officeDocument/2006/relationships/hyperlink" Target="mailto:anibabapaul@yahoo.com" TargetMode="External"/><Relationship Id="rId1" Type="http://schemas.openxmlformats.org/officeDocument/2006/relationships/hyperlink" Target="mailto:bechiey14@yahoo.com" TargetMode="External"/><Relationship Id="rId6" Type="http://schemas.openxmlformats.org/officeDocument/2006/relationships/hyperlink" Target="mailto:gio4real2010@yahoo.com" TargetMode="External"/><Relationship Id="rId15" Type="http://schemas.openxmlformats.org/officeDocument/2006/relationships/hyperlink" Target="mailto:contactdonmax@yahoo.com" TargetMode="External"/><Relationship Id="rId23" Type="http://schemas.openxmlformats.org/officeDocument/2006/relationships/hyperlink" Target="mailto:adebolu36@yahoo.com" TargetMode="External"/><Relationship Id="rId28" Type="http://schemas.openxmlformats.org/officeDocument/2006/relationships/hyperlink" Target="mailto:shopolaboadewale@yahoo.com" TargetMode="External"/><Relationship Id="rId36" Type="http://schemas.openxmlformats.org/officeDocument/2006/relationships/hyperlink" Target="mailto:hezecom@gmail.com" TargetMode="External"/><Relationship Id="rId49" Type="http://schemas.openxmlformats.org/officeDocument/2006/relationships/hyperlink" Target="mailto:walexdino111@yahoo.com" TargetMode="External"/><Relationship Id="rId57" Type="http://schemas.openxmlformats.org/officeDocument/2006/relationships/hyperlink" Target="mailto:adesojimarcus@yahoo.com" TargetMode="External"/><Relationship Id="rId10" Type="http://schemas.openxmlformats.org/officeDocument/2006/relationships/hyperlink" Target="mailto:kemsy05@yahoo.co.uk" TargetMode="External"/><Relationship Id="rId31" Type="http://schemas.openxmlformats.org/officeDocument/2006/relationships/hyperlink" Target="mailto:gbemzeal@yahoo.com" TargetMode="External"/><Relationship Id="rId44" Type="http://schemas.openxmlformats.org/officeDocument/2006/relationships/hyperlink" Target="mailto:salami_ademola@yahoo.com" TargetMode="External"/><Relationship Id="rId52" Type="http://schemas.openxmlformats.org/officeDocument/2006/relationships/hyperlink" Target="mailto:femoakenkolo@yahoo.com" TargetMode="External"/><Relationship Id="rId60" Type="http://schemas.openxmlformats.org/officeDocument/2006/relationships/hyperlink" Target="mailto:temmycute25@yahoo.com" TargetMode="External"/><Relationship Id="rId65" Type="http://schemas.openxmlformats.org/officeDocument/2006/relationships/hyperlink" Target="mailto:olusegunadex@gmail.com" TargetMode="External"/><Relationship Id="rId73" Type="http://schemas.openxmlformats.org/officeDocument/2006/relationships/hyperlink" Target="mailto:lawaniadewale@gmail.com" TargetMode="External"/><Relationship Id="rId78" Type="http://schemas.openxmlformats.org/officeDocument/2006/relationships/hyperlink" Target="mailto:francisudokwu@gmail.com" TargetMode="External"/><Relationship Id="rId81" Type="http://schemas.openxmlformats.org/officeDocument/2006/relationships/hyperlink" Target="mailto:abosedeogunji@gmail.com" TargetMode="External"/><Relationship Id="rId86" Type="http://schemas.openxmlformats.org/officeDocument/2006/relationships/hyperlink" Target="mailto:akiyesi.aemmanuel@yahoo.com" TargetMode="External"/><Relationship Id="rId94" Type="http://schemas.openxmlformats.org/officeDocument/2006/relationships/hyperlink" Target="mailto:Jgbenga50@yahoo.com" TargetMode="External"/><Relationship Id="rId99" Type="http://schemas.openxmlformats.org/officeDocument/2006/relationships/hyperlink" Target="mailto:debbyfasusi@yahoo.com" TargetMode="External"/><Relationship Id="rId101" Type="http://schemas.openxmlformats.org/officeDocument/2006/relationships/hyperlink" Target="mailto:jojoasa2@yahoo.com" TargetMode="External"/><Relationship Id="rId4" Type="http://schemas.openxmlformats.org/officeDocument/2006/relationships/hyperlink" Target="mailto:prismod@yahoo.com" TargetMode="External"/><Relationship Id="rId9" Type="http://schemas.openxmlformats.org/officeDocument/2006/relationships/hyperlink" Target="mailto:kennydam06@yahoo.co.uk" TargetMode="External"/><Relationship Id="rId13" Type="http://schemas.openxmlformats.org/officeDocument/2006/relationships/hyperlink" Target="mailto:waleakanfe@yahoo.com" TargetMode="External"/><Relationship Id="rId18" Type="http://schemas.openxmlformats.org/officeDocument/2006/relationships/hyperlink" Target="mailto:habbybaby16@yahoo.com" TargetMode="External"/><Relationship Id="rId39" Type="http://schemas.openxmlformats.org/officeDocument/2006/relationships/hyperlink" Target="mailto:sheyyboiy4life@yahoo.com" TargetMode="External"/><Relationship Id="rId34" Type="http://schemas.openxmlformats.org/officeDocument/2006/relationships/hyperlink" Target="mailto:dolly_boy01@yahoo.co.uk" TargetMode="External"/><Relationship Id="rId50" Type="http://schemas.openxmlformats.org/officeDocument/2006/relationships/hyperlink" Target="mailto:mayusworld2003@yahoo.com" TargetMode="External"/><Relationship Id="rId55" Type="http://schemas.openxmlformats.org/officeDocument/2006/relationships/hyperlink" Target="mailto:samuelolubisose@yahoo.com" TargetMode="External"/><Relationship Id="rId76" Type="http://schemas.openxmlformats.org/officeDocument/2006/relationships/hyperlink" Target="mailto:tosinbj4wisdom@yahoo.com" TargetMode="External"/><Relationship Id="rId97" Type="http://schemas.openxmlformats.org/officeDocument/2006/relationships/hyperlink" Target="mailto:tundex4joy@yahoo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298"/>
  <sheetViews>
    <sheetView tabSelected="1" workbookViewId="0">
      <selection activeCell="B5" sqref="B5"/>
    </sheetView>
  </sheetViews>
  <sheetFormatPr defaultColWidth="9" defaultRowHeight="15"/>
  <cols>
    <col min="1" max="1" width="9.140625" style="1" customWidth="1"/>
    <col min="2" max="2" width="39.42578125" style="1" customWidth="1"/>
    <col min="3" max="3" width="13.7109375" style="1" customWidth="1"/>
    <col min="4" max="4" width="25.85546875" style="1" customWidth="1"/>
    <col min="5" max="5" width="9.140625" style="1" customWidth="1"/>
    <col min="6" max="6" width="13.140625" style="1" customWidth="1"/>
    <col min="7" max="7" width="9.140625" style="1" customWidth="1"/>
    <col min="8" max="8" width="35.28515625" style="1" customWidth="1"/>
    <col min="9" max="9" width="43.28515625" style="1" customWidth="1"/>
    <col min="10" max="10" width="17.85546875" style="1" customWidth="1"/>
    <col min="11" max="256" width="9.140625" style="1" customWidth="1"/>
  </cols>
  <sheetData>
    <row r="1" spans="1:10">
      <c r="C1" s="205" t="s">
        <v>3903</v>
      </c>
      <c r="D1" s="206"/>
      <c r="E1" s="206"/>
      <c r="F1" s="206"/>
      <c r="G1" s="206"/>
      <c r="H1" s="206"/>
    </row>
    <row r="2" spans="1:10">
      <c r="C2" s="206"/>
      <c r="D2" s="206"/>
      <c r="E2" s="206"/>
      <c r="F2" s="206"/>
      <c r="G2" s="206"/>
      <c r="H2" s="206"/>
    </row>
    <row r="3" spans="1:10">
      <c r="A3" s="1" t="s">
        <v>3</v>
      </c>
      <c r="B3" s="1" t="s">
        <v>2424</v>
      </c>
      <c r="C3" s="1" t="s">
        <v>3904</v>
      </c>
      <c r="D3" s="1" t="s">
        <v>954</v>
      </c>
      <c r="E3" s="1" t="s">
        <v>2427</v>
      </c>
      <c r="F3" s="1" t="s">
        <v>305</v>
      </c>
      <c r="G3" s="1" t="s">
        <v>3905</v>
      </c>
      <c r="H3" s="1" t="s">
        <v>3906</v>
      </c>
      <c r="I3" s="1" t="s">
        <v>3907</v>
      </c>
      <c r="J3" s="1" t="s">
        <v>3908</v>
      </c>
    </row>
    <row r="4" spans="1:10">
      <c r="A4" s="2">
        <v>1</v>
      </c>
      <c r="B4" s="3" t="s">
        <v>3909</v>
      </c>
      <c r="C4" s="4" t="s">
        <v>19</v>
      </c>
      <c r="D4" s="5" t="s">
        <v>3910</v>
      </c>
      <c r="E4" s="6" t="s">
        <v>12</v>
      </c>
      <c r="F4" s="4" t="s">
        <v>3911</v>
      </c>
      <c r="G4" s="7" t="s">
        <v>3902</v>
      </c>
      <c r="H4" s="8" t="s">
        <v>3912</v>
      </c>
      <c r="I4" s="9" t="s">
        <v>3913</v>
      </c>
      <c r="J4" s="9"/>
    </row>
    <row r="5" spans="1:10">
      <c r="A5" s="10">
        <v>2</v>
      </c>
      <c r="B5" s="11" t="s">
        <v>3914</v>
      </c>
      <c r="C5" s="12" t="s">
        <v>62</v>
      </c>
      <c r="D5" s="13" t="s">
        <v>3915</v>
      </c>
      <c r="E5" s="14" t="s">
        <v>12</v>
      </c>
      <c r="F5" s="12" t="s">
        <v>3916</v>
      </c>
      <c r="G5" s="15" t="s">
        <v>3917</v>
      </c>
      <c r="H5" s="16" t="s">
        <v>3918</v>
      </c>
      <c r="I5" s="17" t="s">
        <v>3919</v>
      </c>
      <c r="J5" s="18" t="s">
        <v>3920</v>
      </c>
    </row>
    <row r="6" spans="1:10">
      <c r="A6" s="2">
        <v>3</v>
      </c>
      <c r="B6" s="11" t="s">
        <v>3921</v>
      </c>
      <c r="C6" s="12" t="s">
        <v>19</v>
      </c>
      <c r="D6" s="13" t="s">
        <v>3922</v>
      </c>
      <c r="E6" s="14" t="s">
        <v>12</v>
      </c>
      <c r="F6" s="12" t="s">
        <v>3923</v>
      </c>
      <c r="G6" s="15" t="s">
        <v>3924</v>
      </c>
      <c r="H6" s="16" t="s">
        <v>3925</v>
      </c>
      <c r="I6" s="17" t="s">
        <v>3926</v>
      </c>
      <c r="J6" s="17"/>
    </row>
    <row r="7" spans="1:10">
      <c r="A7" s="2">
        <v>4</v>
      </c>
      <c r="B7" s="3" t="s">
        <v>3927</v>
      </c>
      <c r="C7" s="4" t="s">
        <v>3928</v>
      </c>
      <c r="D7" s="19" t="s">
        <v>3929</v>
      </c>
      <c r="E7" s="20" t="s">
        <v>9</v>
      </c>
      <c r="F7" s="12"/>
      <c r="G7" s="15"/>
      <c r="H7" s="17"/>
      <c r="I7" s="9"/>
      <c r="J7" s="9"/>
    </row>
    <row r="8" spans="1:10">
      <c r="A8" s="2">
        <v>5</v>
      </c>
      <c r="B8" s="3" t="s">
        <v>3930</v>
      </c>
      <c r="C8" s="4" t="s">
        <v>3931</v>
      </c>
      <c r="D8" s="19" t="s">
        <v>3932</v>
      </c>
      <c r="E8" s="20" t="s">
        <v>9</v>
      </c>
      <c r="F8" s="12"/>
      <c r="G8" s="15"/>
      <c r="H8" s="17"/>
      <c r="I8" s="9"/>
      <c r="J8" s="9"/>
    </row>
    <row r="9" spans="1:10">
      <c r="A9" s="2">
        <v>6</v>
      </c>
      <c r="B9" s="3" t="s">
        <v>3933</v>
      </c>
      <c r="C9" s="4" t="s">
        <v>75</v>
      </c>
      <c r="D9" s="5" t="s">
        <v>3934</v>
      </c>
      <c r="E9" s="6" t="s">
        <v>12</v>
      </c>
      <c r="F9" s="4" t="s">
        <v>3935</v>
      </c>
      <c r="G9" s="7" t="s">
        <v>3917</v>
      </c>
      <c r="H9" s="8" t="s">
        <v>3936</v>
      </c>
      <c r="I9" s="9" t="s">
        <v>3937</v>
      </c>
      <c r="J9" s="21" t="s">
        <v>3938</v>
      </c>
    </row>
    <row r="10" spans="1:10">
      <c r="A10" s="2">
        <v>7</v>
      </c>
      <c r="B10" s="3" t="s">
        <v>3939</v>
      </c>
      <c r="C10" s="4" t="s">
        <v>3940</v>
      </c>
      <c r="D10" s="19" t="s">
        <v>3941</v>
      </c>
      <c r="E10" s="20" t="s">
        <v>12</v>
      </c>
      <c r="F10" s="12"/>
      <c r="G10" s="15"/>
      <c r="H10" s="17"/>
      <c r="I10" s="9"/>
      <c r="J10" s="9"/>
    </row>
    <row r="11" spans="1:10">
      <c r="A11" s="2">
        <v>8</v>
      </c>
      <c r="B11" s="11" t="s">
        <v>3942</v>
      </c>
      <c r="C11" s="12" t="s">
        <v>144</v>
      </c>
      <c r="D11" s="13" t="s">
        <v>3943</v>
      </c>
      <c r="E11" s="14" t="s">
        <v>12</v>
      </c>
      <c r="F11" s="12" t="s">
        <v>3944</v>
      </c>
      <c r="G11" s="15" t="s">
        <v>3945</v>
      </c>
      <c r="H11" s="16" t="s">
        <v>3946</v>
      </c>
      <c r="I11" s="17" t="s">
        <v>3947</v>
      </c>
      <c r="J11" s="18"/>
    </row>
    <row r="12" spans="1:10">
      <c r="A12" s="2">
        <v>9</v>
      </c>
      <c r="B12" s="3" t="s">
        <v>3948</v>
      </c>
      <c r="C12" s="4" t="s">
        <v>218</v>
      </c>
      <c r="D12" s="5" t="s">
        <v>3949</v>
      </c>
      <c r="E12" s="6" t="s">
        <v>9</v>
      </c>
      <c r="F12" s="4" t="s">
        <v>3950</v>
      </c>
      <c r="G12" s="7" t="s">
        <v>3917</v>
      </c>
      <c r="H12" s="8" t="s">
        <v>3951</v>
      </c>
      <c r="I12" s="9" t="s">
        <v>3952</v>
      </c>
      <c r="J12" s="21" t="s">
        <v>3953</v>
      </c>
    </row>
    <row r="13" spans="1:10">
      <c r="A13" s="2">
        <v>10</v>
      </c>
      <c r="B13" s="3" t="s">
        <v>3954</v>
      </c>
      <c r="C13" s="4" t="s">
        <v>38</v>
      </c>
      <c r="D13" s="5" t="s">
        <v>3955</v>
      </c>
      <c r="E13" s="6" t="s">
        <v>12</v>
      </c>
      <c r="F13" s="4" t="s">
        <v>3956</v>
      </c>
      <c r="G13" s="7" t="s">
        <v>3957</v>
      </c>
      <c r="H13" s="8" t="s">
        <v>3958</v>
      </c>
      <c r="I13" s="9" t="s">
        <v>3959</v>
      </c>
      <c r="J13" s="21" t="s">
        <v>3960</v>
      </c>
    </row>
    <row r="14" spans="1:10">
      <c r="A14" s="2">
        <v>11</v>
      </c>
      <c r="B14" s="11" t="s">
        <v>3961</v>
      </c>
      <c r="C14" s="12" t="s">
        <v>33</v>
      </c>
      <c r="D14" s="13" t="s">
        <v>3962</v>
      </c>
      <c r="E14" s="14" t="s">
        <v>12</v>
      </c>
      <c r="F14" s="12" t="s">
        <v>3950</v>
      </c>
      <c r="G14" s="15" t="s">
        <v>3963</v>
      </c>
      <c r="H14" s="16" t="s">
        <v>3964</v>
      </c>
      <c r="I14" s="17" t="s">
        <v>3965</v>
      </c>
      <c r="J14" s="18" t="s">
        <v>3966</v>
      </c>
    </row>
    <row r="15" spans="1:10">
      <c r="A15" s="2">
        <v>12</v>
      </c>
      <c r="B15" s="3" t="s">
        <v>3967</v>
      </c>
      <c r="C15" s="4" t="s">
        <v>71</v>
      </c>
      <c r="D15" s="5" t="s">
        <v>3968</v>
      </c>
      <c r="E15" s="6" t="s">
        <v>9</v>
      </c>
      <c r="F15" s="4" t="s">
        <v>3969</v>
      </c>
      <c r="G15" s="7" t="s">
        <v>3945</v>
      </c>
      <c r="H15" s="8" t="s">
        <v>3970</v>
      </c>
      <c r="I15" s="9"/>
      <c r="J15" s="21"/>
    </row>
    <row r="16" spans="1:10">
      <c r="A16" s="2">
        <v>13</v>
      </c>
      <c r="B16" s="3" t="s">
        <v>3971</v>
      </c>
      <c r="C16" s="4" t="s">
        <v>3931</v>
      </c>
      <c r="D16" s="19" t="s">
        <v>3972</v>
      </c>
      <c r="E16" s="20" t="s">
        <v>9</v>
      </c>
      <c r="F16" s="12"/>
      <c r="G16" s="15"/>
      <c r="H16" s="17"/>
      <c r="I16" s="9"/>
      <c r="J16" s="9"/>
    </row>
    <row r="17" spans="1:10">
      <c r="A17" s="2">
        <v>14</v>
      </c>
      <c r="B17" s="11" t="s">
        <v>3973</v>
      </c>
      <c r="C17" s="12" t="s">
        <v>23</v>
      </c>
      <c r="D17" s="13" t="s">
        <v>3974</v>
      </c>
      <c r="E17" s="14" t="s">
        <v>12</v>
      </c>
      <c r="F17" s="12" t="s">
        <v>3944</v>
      </c>
      <c r="G17" s="15" t="s">
        <v>3975</v>
      </c>
      <c r="H17" s="16" t="s">
        <v>3976</v>
      </c>
      <c r="I17" s="17"/>
      <c r="J17" s="18"/>
    </row>
    <row r="18" spans="1:10">
      <c r="A18" s="2">
        <v>15</v>
      </c>
      <c r="B18" s="3" t="s">
        <v>3977</v>
      </c>
      <c r="C18" s="4" t="s">
        <v>2145</v>
      </c>
      <c r="D18" s="5" t="s">
        <v>3978</v>
      </c>
      <c r="E18" s="6" t="s">
        <v>12</v>
      </c>
      <c r="F18" s="4" t="s">
        <v>3979</v>
      </c>
      <c r="G18" s="7" t="s">
        <v>3980</v>
      </c>
      <c r="H18" s="8" t="s">
        <v>3981</v>
      </c>
      <c r="I18" s="9" t="s">
        <v>3982</v>
      </c>
      <c r="J18" s="21"/>
    </row>
    <row r="19" spans="1:10">
      <c r="A19" s="2">
        <v>16</v>
      </c>
      <c r="B19" s="11" t="s">
        <v>3983</v>
      </c>
      <c r="C19" s="12" t="s">
        <v>53</v>
      </c>
      <c r="D19" s="13" t="s">
        <v>3984</v>
      </c>
      <c r="E19" s="14" t="s">
        <v>12</v>
      </c>
      <c r="F19" s="12" t="s">
        <v>3950</v>
      </c>
      <c r="G19" s="15" t="s">
        <v>3985</v>
      </c>
      <c r="H19" s="16" t="s">
        <v>3986</v>
      </c>
      <c r="I19" s="17"/>
      <c r="J19" s="18"/>
    </row>
    <row r="20" spans="1:10">
      <c r="A20" s="2">
        <v>17</v>
      </c>
      <c r="B20" s="3" t="s">
        <v>3987</v>
      </c>
      <c r="C20" s="4" t="s">
        <v>62</v>
      </c>
      <c r="D20" s="5" t="s">
        <v>3988</v>
      </c>
      <c r="E20" s="6" t="s">
        <v>12</v>
      </c>
      <c r="F20" s="4" t="s">
        <v>3979</v>
      </c>
      <c r="G20" s="7" t="s">
        <v>3985</v>
      </c>
      <c r="H20" s="8" t="s">
        <v>3989</v>
      </c>
      <c r="I20" s="9" t="s">
        <v>3990</v>
      </c>
      <c r="J20" s="21" t="s">
        <v>3991</v>
      </c>
    </row>
    <row r="21" spans="1:10">
      <c r="A21" s="2">
        <v>18</v>
      </c>
      <c r="B21" s="11" t="s">
        <v>3992</v>
      </c>
      <c r="C21" s="12" t="s">
        <v>31</v>
      </c>
      <c r="D21" s="13" t="s">
        <v>3993</v>
      </c>
      <c r="E21" s="14" t="s">
        <v>12</v>
      </c>
      <c r="F21" s="12" t="s">
        <v>3994</v>
      </c>
      <c r="G21" s="15" t="s">
        <v>3980</v>
      </c>
      <c r="H21" s="17"/>
      <c r="I21" s="17"/>
      <c r="J21" s="18"/>
    </row>
    <row r="22" spans="1:10">
      <c r="A22" s="2">
        <v>19</v>
      </c>
      <c r="B22" s="11" t="s">
        <v>3995</v>
      </c>
      <c r="C22" s="12" t="s">
        <v>162</v>
      </c>
      <c r="D22" s="13" t="s">
        <v>3996</v>
      </c>
      <c r="E22" s="14" t="s">
        <v>12</v>
      </c>
      <c r="F22" s="12" t="s">
        <v>3997</v>
      </c>
      <c r="G22" s="15" t="s">
        <v>3998</v>
      </c>
      <c r="H22" s="16" t="s">
        <v>3999</v>
      </c>
      <c r="I22" s="17" t="s">
        <v>4000</v>
      </c>
      <c r="J22" s="18" t="s">
        <v>4001</v>
      </c>
    </row>
    <row r="23" spans="1:10">
      <c r="A23" s="2">
        <v>20</v>
      </c>
      <c r="B23" s="11" t="s">
        <v>4002</v>
      </c>
      <c r="C23" s="12" t="s">
        <v>96</v>
      </c>
      <c r="D23" s="13" t="s">
        <v>4003</v>
      </c>
      <c r="E23" s="14" t="s">
        <v>12</v>
      </c>
      <c r="F23" s="12"/>
      <c r="G23" s="15"/>
      <c r="H23" s="16" t="s">
        <v>4004</v>
      </c>
      <c r="I23" s="17" t="s">
        <v>4005</v>
      </c>
      <c r="J23" s="18"/>
    </row>
    <row r="24" spans="1:10">
      <c r="A24" s="2">
        <v>21</v>
      </c>
      <c r="B24" s="3" t="s">
        <v>4006</v>
      </c>
      <c r="C24" s="4" t="s">
        <v>2120</v>
      </c>
      <c r="D24" s="13" t="s">
        <v>4007</v>
      </c>
      <c r="E24" s="6" t="s">
        <v>12</v>
      </c>
      <c r="F24" s="12" t="s">
        <v>4008</v>
      </c>
      <c r="G24" s="15" t="s">
        <v>4009</v>
      </c>
      <c r="H24" s="16"/>
      <c r="I24" s="9"/>
      <c r="J24" s="21"/>
    </row>
    <row r="25" spans="1:10">
      <c r="A25" s="2">
        <v>22</v>
      </c>
      <c r="B25" s="11" t="s">
        <v>4010</v>
      </c>
      <c r="C25" s="12" t="s">
        <v>43</v>
      </c>
      <c r="D25" s="13" t="s">
        <v>4011</v>
      </c>
      <c r="E25" s="14"/>
      <c r="F25" s="12"/>
      <c r="G25" s="15"/>
      <c r="H25" s="16" t="s">
        <v>4012</v>
      </c>
      <c r="I25" s="17" t="s">
        <v>4013</v>
      </c>
      <c r="J25" s="18"/>
    </row>
    <row r="26" spans="1:10">
      <c r="A26" s="2">
        <v>23</v>
      </c>
      <c r="B26" s="3" t="s">
        <v>4014</v>
      </c>
      <c r="C26" s="4" t="s">
        <v>75</v>
      </c>
      <c r="D26" s="13" t="s">
        <v>4015</v>
      </c>
      <c r="E26" s="6" t="s">
        <v>12</v>
      </c>
      <c r="F26" s="12" t="s">
        <v>4016</v>
      </c>
      <c r="G26" s="15" t="s">
        <v>3924</v>
      </c>
      <c r="H26" s="16" t="s">
        <v>4017</v>
      </c>
      <c r="I26" s="9" t="s">
        <v>4018</v>
      </c>
      <c r="J26" s="21" t="s">
        <v>4019</v>
      </c>
    </row>
    <row r="27" spans="1:10">
      <c r="A27" s="2">
        <v>24</v>
      </c>
      <c r="B27" s="3" t="s">
        <v>4020</v>
      </c>
      <c r="C27" s="4" t="s">
        <v>31</v>
      </c>
      <c r="D27" s="5" t="s">
        <v>4021</v>
      </c>
      <c r="E27" s="6" t="s">
        <v>12</v>
      </c>
      <c r="F27" s="4" t="s">
        <v>3911</v>
      </c>
      <c r="G27" s="7" t="s">
        <v>4022</v>
      </c>
      <c r="H27" s="9"/>
      <c r="I27" s="9"/>
      <c r="J27" s="21"/>
    </row>
    <row r="28" spans="1:10">
      <c r="A28" s="2">
        <v>25</v>
      </c>
      <c r="B28" s="3" t="s">
        <v>4023</v>
      </c>
      <c r="C28" s="4" t="s">
        <v>21</v>
      </c>
      <c r="D28" s="5" t="s">
        <v>4024</v>
      </c>
      <c r="E28" s="6" t="s">
        <v>12</v>
      </c>
      <c r="F28" s="4" t="s">
        <v>4025</v>
      </c>
      <c r="G28" s="7" t="s">
        <v>3924</v>
      </c>
      <c r="H28" s="8" t="s">
        <v>4026</v>
      </c>
      <c r="I28" s="9" t="s">
        <v>4027</v>
      </c>
      <c r="J28" s="21" t="s">
        <v>4028</v>
      </c>
    </row>
    <row r="29" spans="1:10">
      <c r="A29" s="2">
        <v>26</v>
      </c>
      <c r="B29" s="11" t="s">
        <v>4029</v>
      </c>
      <c r="C29" s="12" t="s">
        <v>2120</v>
      </c>
      <c r="D29" s="13" t="s">
        <v>4030</v>
      </c>
      <c r="E29" s="14" t="s">
        <v>12</v>
      </c>
      <c r="F29" s="12" t="s">
        <v>4031</v>
      </c>
      <c r="G29" s="15" t="s">
        <v>4032</v>
      </c>
      <c r="H29" s="16" t="s">
        <v>4033</v>
      </c>
      <c r="I29" s="17" t="s">
        <v>4034</v>
      </c>
      <c r="J29" s="18" t="s">
        <v>4035</v>
      </c>
    </row>
    <row r="30" spans="1:10">
      <c r="A30" s="2">
        <v>27</v>
      </c>
      <c r="B30" s="3" t="s">
        <v>4036</v>
      </c>
      <c r="C30" s="4" t="s">
        <v>144</v>
      </c>
      <c r="D30" s="5" t="s">
        <v>4037</v>
      </c>
      <c r="E30" s="6" t="s">
        <v>12</v>
      </c>
      <c r="F30" s="4" t="s">
        <v>4038</v>
      </c>
      <c r="G30" s="7" t="s">
        <v>4022</v>
      </c>
      <c r="H30" s="9"/>
      <c r="I30" s="9"/>
      <c r="J30" s="21"/>
    </row>
    <row r="31" spans="1:10">
      <c r="A31" s="2">
        <v>28</v>
      </c>
      <c r="B31" s="11" t="s">
        <v>4039</v>
      </c>
      <c r="C31" s="12" t="s">
        <v>41</v>
      </c>
      <c r="D31" s="13" t="s">
        <v>4040</v>
      </c>
      <c r="E31" s="14" t="s">
        <v>12</v>
      </c>
      <c r="F31" s="12" t="s">
        <v>4041</v>
      </c>
      <c r="G31" s="15" t="s">
        <v>3902</v>
      </c>
      <c r="H31" s="16" t="s">
        <v>4042</v>
      </c>
      <c r="I31" s="9" t="s">
        <v>4043</v>
      </c>
      <c r="J31" s="21" t="s">
        <v>4044</v>
      </c>
    </row>
    <row r="32" spans="1:10">
      <c r="A32" s="2">
        <v>29</v>
      </c>
      <c r="B32" s="3" t="s">
        <v>4045</v>
      </c>
      <c r="C32" s="4" t="s">
        <v>23</v>
      </c>
      <c r="D32" s="13"/>
      <c r="E32" s="6" t="s">
        <v>12</v>
      </c>
      <c r="F32" s="12"/>
      <c r="G32" s="15"/>
      <c r="H32" s="16"/>
      <c r="I32" s="9"/>
      <c r="J32" s="21"/>
    </row>
    <row r="33" spans="1:10">
      <c r="A33" s="2">
        <v>30</v>
      </c>
      <c r="B33" s="3" t="s">
        <v>4046</v>
      </c>
      <c r="C33" s="4" t="s">
        <v>132</v>
      </c>
      <c r="D33" s="5" t="s">
        <v>4047</v>
      </c>
      <c r="E33" s="6" t="s">
        <v>9</v>
      </c>
      <c r="F33" s="4" t="s">
        <v>4048</v>
      </c>
      <c r="G33" s="7" t="s">
        <v>4049</v>
      </c>
      <c r="H33" s="8" t="s">
        <v>4050</v>
      </c>
      <c r="I33" s="9" t="s">
        <v>4051</v>
      </c>
      <c r="J33" s="21" t="s">
        <v>4052</v>
      </c>
    </row>
    <row r="34" spans="1:10">
      <c r="A34" s="2">
        <v>31</v>
      </c>
      <c r="B34" s="3" t="s">
        <v>4053</v>
      </c>
      <c r="C34" s="4" t="s">
        <v>23</v>
      </c>
      <c r="D34" s="5" t="s">
        <v>4054</v>
      </c>
      <c r="E34" s="6" t="s">
        <v>9</v>
      </c>
      <c r="F34" s="4" t="s">
        <v>3979</v>
      </c>
      <c r="G34" s="7" t="s">
        <v>4049</v>
      </c>
      <c r="H34" s="8" t="s">
        <v>4055</v>
      </c>
      <c r="I34" s="9" t="s">
        <v>4056</v>
      </c>
      <c r="J34" s="21"/>
    </row>
    <row r="35" spans="1:10">
      <c r="A35" s="2">
        <v>32</v>
      </c>
      <c r="B35" s="11" t="s">
        <v>4057</v>
      </c>
      <c r="C35" s="12" t="s">
        <v>144</v>
      </c>
      <c r="D35" s="13" t="s">
        <v>4058</v>
      </c>
      <c r="E35" s="14" t="s">
        <v>12</v>
      </c>
      <c r="F35" s="12" t="s">
        <v>4016</v>
      </c>
      <c r="G35" s="15" t="s">
        <v>4059</v>
      </c>
      <c r="H35" s="16" t="s">
        <v>4060</v>
      </c>
      <c r="I35" s="9" t="s">
        <v>4061</v>
      </c>
      <c r="J35" s="21" t="s">
        <v>4062</v>
      </c>
    </row>
    <row r="36" spans="1:10">
      <c r="A36" s="2">
        <v>33</v>
      </c>
      <c r="B36" s="3" t="s">
        <v>4063</v>
      </c>
      <c r="C36" s="4" t="s">
        <v>132</v>
      </c>
      <c r="D36" s="13" t="s">
        <v>4064</v>
      </c>
      <c r="E36" s="6" t="s">
        <v>12</v>
      </c>
      <c r="F36" s="12" t="s">
        <v>4065</v>
      </c>
      <c r="G36" s="15" t="s">
        <v>4022</v>
      </c>
      <c r="H36" s="16" t="s">
        <v>4066</v>
      </c>
      <c r="I36" s="9"/>
      <c r="J36" s="21" t="s">
        <v>4067</v>
      </c>
    </row>
    <row r="37" spans="1:10">
      <c r="A37" s="2">
        <v>34</v>
      </c>
      <c r="B37" s="3" t="s">
        <v>4068</v>
      </c>
      <c r="C37" s="4" t="s">
        <v>3928</v>
      </c>
      <c r="D37" s="19" t="s">
        <v>4069</v>
      </c>
      <c r="E37" s="20" t="s">
        <v>12</v>
      </c>
      <c r="F37" s="12"/>
      <c r="G37" s="15"/>
      <c r="H37" s="17"/>
      <c r="I37" s="9"/>
      <c r="J37" s="9"/>
    </row>
    <row r="38" spans="1:10">
      <c r="A38" s="2">
        <v>35</v>
      </c>
      <c r="B38" s="3" t="s">
        <v>4070</v>
      </c>
      <c r="C38" s="4" t="s">
        <v>75</v>
      </c>
      <c r="D38" s="5" t="s">
        <v>4071</v>
      </c>
      <c r="E38" s="6" t="s">
        <v>9</v>
      </c>
      <c r="F38" s="4" t="s">
        <v>3944</v>
      </c>
      <c r="G38" s="7" t="s">
        <v>4049</v>
      </c>
      <c r="H38" s="8" t="s">
        <v>4072</v>
      </c>
      <c r="I38" s="9" t="s">
        <v>4073</v>
      </c>
      <c r="J38" s="21" t="s">
        <v>4074</v>
      </c>
    </row>
    <row r="39" spans="1:10">
      <c r="A39" s="2">
        <v>36</v>
      </c>
      <c r="B39" s="3" t="s">
        <v>4075</v>
      </c>
      <c r="C39" s="4" t="s">
        <v>41</v>
      </c>
      <c r="D39" s="5" t="s">
        <v>4076</v>
      </c>
      <c r="E39" s="6" t="s">
        <v>12</v>
      </c>
      <c r="F39" s="4"/>
      <c r="G39" s="7"/>
      <c r="H39" s="8" t="s">
        <v>4077</v>
      </c>
      <c r="I39" s="9" t="s">
        <v>4078</v>
      </c>
      <c r="J39" s="21"/>
    </row>
    <row r="40" spans="1:10">
      <c r="A40" s="2">
        <v>37</v>
      </c>
      <c r="B40" s="11" t="s">
        <v>4079</v>
      </c>
      <c r="C40" s="12" t="s">
        <v>16</v>
      </c>
      <c r="D40" s="13" t="s">
        <v>4080</v>
      </c>
      <c r="E40" s="14" t="s">
        <v>12</v>
      </c>
      <c r="F40" s="12" t="s">
        <v>4041</v>
      </c>
      <c r="G40" s="15" t="s">
        <v>4032</v>
      </c>
      <c r="H40" s="17"/>
      <c r="I40" s="17"/>
      <c r="J40" s="18"/>
    </row>
    <row r="41" spans="1:10">
      <c r="A41" s="2">
        <v>38</v>
      </c>
      <c r="B41" s="3" t="s">
        <v>4081</v>
      </c>
      <c r="C41" s="4" t="s">
        <v>2768</v>
      </c>
      <c r="D41" s="5" t="s">
        <v>4082</v>
      </c>
      <c r="E41" s="6" t="s">
        <v>12</v>
      </c>
      <c r="F41" s="4" t="s">
        <v>4083</v>
      </c>
      <c r="G41" s="22" t="s">
        <v>4084</v>
      </c>
      <c r="H41" s="23" t="s">
        <v>4085</v>
      </c>
      <c r="I41" s="24" t="s">
        <v>4086</v>
      </c>
      <c r="J41" s="21"/>
    </row>
    <row r="42" spans="1:10">
      <c r="A42" s="2">
        <v>39</v>
      </c>
      <c r="B42" s="3" t="s">
        <v>4087</v>
      </c>
      <c r="C42" s="4" t="s">
        <v>16</v>
      </c>
      <c r="D42" s="5" t="s">
        <v>4088</v>
      </c>
      <c r="E42" s="6" t="s">
        <v>12</v>
      </c>
      <c r="F42" s="4" t="s">
        <v>4089</v>
      </c>
      <c r="G42" s="22" t="s">
        <v>3957</v>
      </c>
      <c r="H42" s="23" t="s">
        <v>4090</v>
      </c>
      <c r="I42" s="24" t="s">
        <v>4091</v>
      </c>
      <c r="J42" s="21" t="s">
        <v>4092</v>
      </c>
    </row>
    <row r="43" spans="1:10">
      <c r="A43" s="2">
        <v>40</v>
      </c>
      <c r="B43" s="3" t="s">
        <v>4093</v>
      </c>
      <c r="C43" s="4" t="s">
        <v>2120</v>
      </c>
      <c r="D43" s="5" t="s">
        <v>4094</v>
      </c>
      <c r="E43" s="6" t="s">
        <v>9</v>
      </c>
      <c r="F43" s="4" t="s">
        <v>4095</v>
      </c>
      <c r="G43" s="7" t="s">
        <v>3902</v>
      </c>
      <c r="H43" s="8" t="s">
        <v>4096</v>
      </c>
      <c r="I43" s="9" t="s">
        <v>4097</v>
      </c>
      <c r="J43" s="21" t="s">
        <v>4098</v>
      </c>
    </row>
    <row r="44" spans="1:10">
      <c r="A44" s="2">
        <v>41</v>
      </c>
      <c r="B44" s="3" t="s">
        <v>4099</v>
      </c>
      <c r="C44" s="4" t="s">
        <v>64</v>
      </c>
      <c r="D44" s="5" t="s">
        <v>4100</v>
      </c>
      <c r="E44" s="6" t="s">
        <v>12</v>
      </c>
      <c r="F44" s="4"/>
      <c r="G44" s="22"/>
      <c r="H44" s="23" t="s">
        <v>4101</v>
      </c>
      <c r="I44" s="24" t="s">
        <v>4102</v>
      </c>
      <c r="J44" s="21"/>
    </row>
    <row r="45" spans="1:10">
      <c r="A45" s="2">
        <v>42</v>
      </c>
      <c r="B45" s="3" t="s">
        <v>4103</v>
      </c>
      <c r="C45" s="4" t="s">
        <v>45</v>
      </c>
      <c r="D45" s="5" t="s">
        <v>4104</v>
      </c>
      <c r="E45" s="6"/>
      <c r="F45" s="4"/>
      <c r="G45" s="22"/>
      <c r="H45" s="23" t="s">
        <v>4105</v>
      </c>
      <c r="I45" s="24" t="s">
        <v>4106</v>
      </c>
      <c r="J45" s="21"/>
    </row>
    <row r="46" spans="1:10">
      <c r="A46" s="2">
        <v>43</v>
      </c>
      <c r="B46" s="11" t="s">
        <v>4107</v>
      </c>
      <c r="C46" s="12" t="s">
        <v>29</v>
      </c>
      <c r="D46" s="13" t="s">
        <v>4108</v>
      </c>
      <c r="E46" s="14" t="s">
        <v>12</v>
      </c>
      <c r="F46" s="12" t="s">
        <v>4109</v>
      </c>
      <c r="G46" s="15" t="s">
        <v>4110</v>
      </c>
      <c r="H46" s="16" t="s">
        <v>4111</v>
      </c>
      <c r="I46" s="17" t="s">
        <v>4112</v>
      </c>
      <c r="J46" s="18" t="s">
        <v>4113</v>
      </c>
    </row>
    <row r="47" spans="1:10">
      <c r="A47" s="2">
        <v>44</v>
      </c>
      <c r="B47" s="3" t="s">
        <v>4114</v>
      </c>
      <c r="C47" s="4" t="s">
        <v>2768</v>
      </c>
      <c r="D47" s="5" t="s">
        <v>4115</v>
      </c>
      <c r="E47" s="6" t="s">
        <v>12</v>
      </c>
      <c r="F47" s="4" t="s">
        <v>4095</v>
      </c>
      <c r="G47" s="7" t="s">
        <v>4032</v>
      </c>
      <c r="H47" s="8" t="s">
        <v>4116</v>
      </c>
      <c r="I47" s="9" t="s">
        <v>4117</v>
      </c>
      <c r="J47" s="21"/>
    </row>
    <row r="48" spans="1:10">
      <c r="A48" s="2">
        <v>45</v>
      </c>
      <c r="B48" s="3" t="s">
        <v>4118</v>
      </c>
      <c r="C48" s="4" t="s">
        <v>25</v>
      </c>
      <c r="D48" s="5" t="s">
        <v>4119</v>
      </c>
      <c r="E48" s="6" t="s">
        <v>12</v>
      </c>
      <c r="F48" s="4" t="s">
        <v>4109</v>
      </c>
      <c r="G48" s="7" t="s">
        <v>4120</v>
      </c>
      <c r="H48" s="8" t="s">
        <v>4121</v>
      </c>
      <c r="I48" s="9" t="s">
        <v>4122</v>
      </c>
      <c r="J48" s="21" t="s">
        <v>4123</v>
      </c>
    </row>
    <row r="49" spans="1:10">
      <c r="A49" s="2">
        <v>46</v>
      </c>
      <c r="B49" s="3" t="s">
        <v>4124</v>
      </c>
      <c r="C49" s="4" t="s">
        <v>213</v>
      </c>
      <c r="D49" s="5" t="s">
        <v>4125</v>
      </c>
      <c r="E49" s="6" t="s">
        <v>12</v>
      </c>
      <c r="F49" s="4"/>
      <c r="G49" s="7"/>
      <c r="H49" s="8" t="s">
        <v>4126</v>
      </c>
      <c r="I49" s="9"/>
      <c r="J49" s="21"/>
    </row>
    <row r="50" spans="1:10">
      <c r="A50" s="2">
        <v>47</v>
      </c>
      <c r="B50" s="11" t="s">
        <v>4127</v>
      </c>
      <c r="C50" s="12" t="s">
        <v>23</v>
      </c>
      <c r="D50" s="13" t="s">
        <v>4128</v>
      </c>
      <c r="E50" s="14" t="s">
        <v>9</v>
      </c>
      <c r="F50" s="12" t="s">
        <v>4031</v>
      </c>
      <c r="G50" s="15" t="s">
        <v>3917</v>
      </c>
      <c r="H50" s="16" t="s">
        <v>4129</v>
      </c>
      <c r="I50" s="17" t="s">
        <v>4130</v>
      </c>
      <c r="J50" s="18" t="s">
        <v>4131</v>
      </c>
    </row>
    <row r="51" spans="1:10">
      <c r="A51" s="2">
        <v>48</v>
      </c>
      <c r="B51" s="3" t="s">
        <v>4132</v>
      </c>
      <c r="C51" s="4" t="s">
        <v>43</v>
      </c>
      <c r="D51" s="5" t="s">
        <v>4133</v>
      </c>
      <c r="E51" s="6" t="s">
        <v>9</v>
      </c>
      <c r="F51" s="4" t="s">
        <v>3956</v>
      </c>
      <c r="G51" s="7" t="s">
        <v>4059</v>
      </c>
      <c r="H51" s="8" t="s">
        <v>4134</v>
      </c>
      <c r="I51" s="9" t="s">
        <v>4135</v>
      </c>
      <c r="J51" s="21" t="s">
        <v>4136</v>
      </c>
    </row>
    <row r="52" spans="1:10">
      <c r="A52" s="2">
        <v>49</v>
      </c>
      <c r="B52" s="11" t="s">
        <v>4137</v>
      </c>
      <c r="C52" s="12" t="s">
        <v>41</v>
      </c>
      <c r="D52" s="13" t="s">
        <v>4138</v>
      </c>
      <c r="E52" s="14" t="s">
        <v>12</v>
      </c>
      <c r="F52" s="12" t="s">
        <v>3935</v>
      </c>
      <c r="G52" s="15" t="s">
        <v>3985</v>
      </c>
      <c r="H52" s="17"/>
      <c r="I52" s="17"/>
      <c r="J52" s="18"/>
    </row>
    <row r="53" spans="1:10">
      <c r="A53" s="2">
        <v>50</v>
      </c>
      <c r="B53" s="3" t="s">
        <v>4139</v>
      </c>
      <c r="C53" s="4" t="s">
        <v>132</v>
      </c>
      <c r="D53" s="13" t="s">
        <v>4140</v>
      </c>
      <c r="E53" s="6" t="s">
        <v>9</v>
      </c>
      <c r="F53" s="12" t="s">
        <v>3944</v>
      </c>
      <c r="G53" s="15" t="s">
        <v>4141</v>
      </c>
      <c r="H53" s="17"/>
      <c r="I53" s="9"/>
      <c r="J53" s="21"/>
    </row>
    <row r="54" spans="1:10">
      <c r="A54" s="2">
        <v>51</v>
      </c>
      <c r="B54" s="3" t="s">
        <v>4142</v>
      </c>
      <c r="C54" s="4" t="s">
        <v>31</v>
      </c>
      <c r="D54" s="13" t="s">
        <v>4143</v>
      </c>
      <c r="E54" s="6" t="s">
        <v>12</v>
      </c>
      <c r="F54" s="12" t="s">
        <v>4144</v>
      </c>
      <c r="G54" s="15" t="s">
        <v>4120</v>
      </c>
      <c r="H54" s="16" t="s">
        <v>4145</v>
      </c>
      <c r="I54" s="9" t="s">
        <v>4146</v>
      </c>
      <c r="J54" s="21" t="s">
        <v>4147</v>
      </c>
    </row>
    <row r="55" spans="1:10">
      <c r="A55" s="2">
        <v>52</v>
      </c>
      <c r="B55" s="3" t="s">
        <v>4148</v>
      </c>
      <c r="C55" s="4" t="s">
        <v>16</v>
      </c>
      <c r="D55" s="5" t="s">
        <v>4149</v>
      </c>
      <c r="E55" s="6" t="s">
        <v>9</v>
      </c>
      <c r="F55" s="4" t="s">
        <v>3969</v>
      </c>
      <c r="G55" s="7" t="s">
        <v>3998</v>
      </c>
      <c r="H55" s="8" t="s">
        <v>4150</v>
      </c>
      <c r="I55" s="9" t="s">
        <v>4151</v>
      </c>
      <c r="J55" s="21"/>
    </row>
    <row r="56" spans="1:10">
      <c r="A56" s="2">
        <v>53</v>
      </c>
      <c r="B56" s="11" t="s">
        <v>4152</v>
      </c>
      <c r="C56" s="12" t="s">
        <v>10</v>
      </c>
      <c r="D56" s="13" t="s">
        <v>4153</v>
      </c>
      <c r="E56" s="14" t="s">
        <v>12</v>
      </c>
      <c r="F56" s="12" t="s">
        <v>4154</v>
      </c>
      <c r="G56" s="15" t="s">
        <v>4155</v>
      </c>
      <c r="H56" s="16" t="s">
        <v>4156</v>
      </c>
      <c r="I56" s="17" t="s">
        <v>4157</v>
      </c>
      <c r="J56" s="18" t="s">
        <v>4158</v>
      </c>
    </row>
    <row r="57" spans="1:10">
      <c r="A57" s="2">
        <v>54</v>
      </c>
      <c r="B57" s="3" t="s">
        <v>4159</v>
      </c>
      <c r="C57" s="4" t="s">
        <v>213</v>
      </c>
      <c r="D57" s="5" t="s">
        <v>4160</v>
      </c>
      <c r="E57" s="6" t="s">
        <v>9</v>
      </c>
      <c r="F57" s="4" t="s">
        <v>4109</v>
      </c>
      <c r="G57" s="7" t="s">
        <v>4161</v>
      </c>
      <c r="H57" s="8" t="s">
        <v>4162</v>
      </c>
      <c r="I57" s="9" t="s">
        <v>4163</v>
      </c>
      <c r="J57" s="21"/>
    </row>
    <row r="58" spans="1:10">
      <c r="A58" s="2">
        <v>55</v>
      </c>
      <c r="B58" s="11" t="s">
        <v>4164</v>
      </c>
      <c r="C58" s="12" t="s">
        <v>75</v>
      </c>
      <c r="D58" s="13" t="s">
        <v>4165</v>
      </c>
      <c r="E58" s="14" t="s">
        <v>12</v>
      </c>
      <c r="F58" s="12" t="s">
        <v>3916</v>
      </c>
      <c r="G58" s="15" t="s">
        <v>4161</v>
      </c>
      <c r="H58" s="16" t="s">
        <v>4166</v>
      </c>
      <c r="I58" s="17" t="s">
        <v>4167</v>
      </c>
      <c r="J58" s="18"/>
    </row>
    <row r="59" spans="1:10">
      <c r="A59" s="2">
        <v>56</v>
      </c>
      <c r="B59" s="11" t="s">
        <v>4168</v>
      </c>
      <c r="C59" s="25" t="s">
        <v>53</v>
      </c>
      <c r="D59" s="13" t="s">
        <v>4169</v>
      </c>
      <c r="E59" s="14" t="s">
        <v>12</v>
      </c>
      <c r="F59" s="12" t="s">
        <v>3950</v>
      </c>
      <c r="G59" s="15" t="s">
        <v>4022</v>
      </c>
      <c r="H59" s="17"/>
      <c r="I59" s="17"/>
      <c r="J59" s="18"/>
    </row>
    <row r="60" spans="1:10">
      <c r="A60" s="2">
        <v>57</v>
      </c>
      <c r="B60" s="3" t="s">
        <v>4170</v>
      </c>
      <c r="C60" s="4" t="s">
        <v>207</v>
      </c>
      <c r="D60" s="5" t="s">
        <v>4171</v>
      </c>
      <c r="E60" s="6" t="s">
        <v>9</v>
      </c>
      <c r="F60" s="4" t="s">
        <v>3956</v>
      </c>
      <c r="G60" s="7" t="s">
        <v>4161</v>
      </c>
      <c r="H60" s="8" t="s">
        <v>4172</v>
      </c>
      <c r="I60" s="9" t="s">
        <v>4173</v>
      </c>
      <c r="J60" s="21"/>
    </row>
    <row r="61" spans="1:10">
      <c r="A61" s="2">
        <v>58</v>
      </c>
      <c r="B61" s="11" t="s">
        <v>4174</v>
      </c>
      <c r="C61" s="12" t="s">
        <v>132</v>
      </c>
      <c r="D61" s="13" t="s">
        <v>4175</v>
      </c>
      <c r="E61" s="14" t="s">
        <v>12</v>
      </c>
      <c r="F61" s="12" t="s">
        <v>4109</v>
      </c>
      <c r="G61" s="15" t="s">
        <v>4059</v>
      </c>
      <c r="H61" s="17"/>
      <c r="I61" s="17"/>
      <c r="J61" s="18"/>
    </row>
    <row r="62" spans="1:10">
      <c r="A62" s="2">
        <v>59</v>
      </c>
      <c r="B62" s="3" t="s">
        <v>4176</v>
      </c>
      <c r="C62" s="4" t="s">
        <v>144</v>
      </c>
      <c r="D62" s="5" t="s">
        <v>4177</v>
      </c>
      <c r="E62" s="6" t="s">
        <v>9</v>
      </c>
      <c r="F62" s="4" t="s">
        <v>4178</v>
      </c>
      <c r="G62" s="7" t="s">
        <v>3917</v>
      </c>
      <c r="H62" s="9"/>
      <c r="I62" s="9"/>
      <c r="J62" s="21"/>
    </row>
    <row r="63" spans="1:10">
      <c r="A63" s="2">
        <v>60</v>
      </c>
      <c r="B63" s="11" t="s">
        <v>4179</v>
      </c>
      <c r="C63" s="12" t="s">
        <v>16</v>
      </c>
      <c r="D63" s="13" t="s">
        <v>4180</v>
      </c>
      <c r="E63" s="14" t="s">
        <v>9</v>
      </c>
      <c r="F63" s="12" t="s">
        <v>4181</v>
      </c>
      <c r="G63" s="15" t="s">
        <v>3998</v>
      </c>
      <c r="H63" s="16" t="s">
        <v>4182</v>
      </c>
      <c r="I63" s="17" t="s">
        <v>4135</v>
      </c>
      <c r="J63" s="18"/>
    </row>
    <row r="64" spans="1:10">
      <c r="A64" s="2">
        <v>61</v>
      </c>
      <c r="B64" s="11" t="s">
        <v>4183</v>
      </c>
      <c r="C64" s="12" t="s">
        <v>144</v>
      </c>
      <c r="D64" s="13" t="s">
        <v>4184</v>
      </c>
      <c r="E64" s="14" t="s">
        <v>12</v>
      </c>
      <c r="F64" s="12" t="s">
        <v>4185</v>
      </c>
      <c r="G64" s="15" t="s">
        <v>4022</v>
      </c>
      <c r="H64" s="16" t="s">
        <v>4186</v>
      </c>
      <c r="I64" s="17" t="s">
        <v>4187</v>
      </c>
      <c r="J64" s="18"/>
    </row>
    <row r="65" spans="1:10">
      <c r="A65" s="2">
        <v>62</v>
      </c>
      <c r="B65" s="3" t="s">
        <v>4188</v>
      </c>
      <c r="C65" s="4" t="s">
        <v>144</v>
      </c>
      <c r="D65" s="5" t="s">
        <v>4189</v>
      </c>
      <c r="E65" s="6" t="s">
        <v>12</v>
      </c>
      <c r="F65" s="4" t="s">
        <v>4083</v>
      </c>
      <c r="G65" s="7" t="s">
        <v>4032</v>
      </c>
      <c r="H65" s="8" t="s">
        <v>4190</v>
      </c>
      <c r="I65" s="9" t="s">
        <v>4191</v>
      </c>
      <c r="J65" s="21" t="s">
        <v>4192</v>
      </c>
    </row>
    <row r="66" spans="1:10">
      <c r="A66" s="2">
        <v>63</v>
      </c>
      <c r="B66" s="11" t="s">
        <v>4193</v>
      </c>
      <c r="C66" s="12" t="s">
        <v>38</v>
      </c>
      <c r="D66" s="13" t="s">
        <v>4194</v>
      </c>
      <c r="E66" s="14" t="s">
        <v>12</v>
      </c>
      <c r="F66" s="12" t="s">
        <v>4109</v>
      </c>
      <c r="G66" s="15" t="s">
        <v>3998</v>
      </c>
      <c r="H66" s="16" t="s">
        <v>4195</v>
      </c>
      <c r="I66" s="17" t="s">
        <v>4196</v>
      </c>
      <c r="J66" s="18" t="s">
        <v>4197</v>
      </c>
    </row>
    <row r="67" spans="1:10">
      <c r="A67" s="2">
        <v>64</v>
      </c>
      <c r="B67" s="3" t="s">
        <v>4198</v>
      </c>
      <c r="C67" s="4" t="s">
        <v>19</v>
      </c>
      <c r="D67" s="13" t="s">
        <v>4199</v>
      </c>
      <c r="E67" s="6" t="s">
        <v>12</v>
      </c>
      <c r="F67" s="12" t="s">
        <v>4200</v>
      </c>
      <c r="G67" s="15" t="s">
        <v>3985</v>
      </c>
      <c r="H67" s="16" t="s">
        <v>4201</v>
      </c>
      <c r="I67" s="9"/>
      <c r="J67" s="21" t="s">
        <v>4202</v>
      </c>
    </row>
    <row r="68" spans="1:10">
      <c r="A68" s="2">
        <v>65</v>
      </c>
      <c r="B68" s="3" t="s">
        <v>4203</v>
      </c>
      <c r="C68" s="4" t="s">
        <v>213</v>
      </c>
      <c r="D68" s="5" t="s">
        <v>4204</v>
      </c>
      <c r="E68" s="6" t="s">
        <v>12</v>
      </c>
      <c r="F68" s="4" t="s">
        <v>3911</v>
      </c>
      <c r="G68" s="7" t="s">
        <v>4049</v>
      </c>
      <c r="H68" s="8" t="s">
        <v>4205</v>
      </c>
      <c r="I68" s="9" t="s">
        <v>4206</v>
      </c>
      <c r="J68" s="21"/>
    </row>
    <row r="69" spans="1:10">
      <c r="A69" s="2">
        <v>66</v>
      </c>
      <c r="B69" s="11" t="s">
        <v>4207</v>
      </c>
      <c r="C69" s="12" t="s">
        <v>38</v>
      </c>
      <c r="D69" s="13" t="s">
        <v>4208</v>
      </c>
      <c r="E69" s="14" t="s">
        <v>12</v>
      </c>
      <c r="F69" s="12" t="s">
        <v>4154</v>
      </c>
      <c r="G69" s="15" t="s">
        <v>3945</v>
      </c>
      <c r="H69" s="16" t="s">
        <v>4209</v>
      </c>
      <c r="I69" s="17" t="s">
        <v>4210</v>
      </c>
      <c r="J69" s="18"/>
    </row>
    <row r="70" spans="1:10">
      <c r="A70" s="2">
        <v>67</v>
      </c>
      <c r="B70" s="3" t="s">
        <v>4211</v>
      </c>
      <c r="C70" s="4" t="s">
        <v>132</v>
      </c>
      <c r="D70" s="5" t="s">
        <v>4212</v>
      </c>
      <c r="E70" s="6" t="s">
        <v>12</v>
      </c>
      <c r="F70" s="4" t="s">
        <v>4048</v>
      </c>
      <c r="G70" s="7" t="s">
        <v>4049</v>
      </c>
      <c r="H70" s="9"/>
      <c r="I70" s="9"/>
      <c r="J70" s="21"/>
    </row>
    <row r="71" spans="1:10">
      <c r="A71" s="2">
        <v>68</v>
      </c>
      <c r="B71" s="3" t="s">
        <v>4213</v>
      </c>
      <c r="C71" s="4" t="s">
        <v>96</v>
      </c>
      <c r="D71" s="5" t="s">
        <v>4214</v>
      </c>
      <c r="E71" s="6" t="s">
        <v>9</v>
      </c>
      <c r="F71" s="4" t="s">
        <v>3935</v>
      </c>
      <c r="G71" s="7" t="s">
        <v>3957</v>
      </c>
      <c r="H71" s="8" t="s">
        <v>4215</v>
      </c>
      <c r="I71" s="9" t="s">
        <v>4216</v>
      </c>
      <c r="J71" s="21" t="s">
        <v>4217</v>
      </c>
    </row>
    <row r="72" spans="1:10">
      <c r="A72" s="2">
        <v>69</v>
      </c>
      <c r="B72" s="11" t="s">
        <v>4218</v>
      </c>
      <c r="C72" s="12" t="s">
        <v>71</v>
      </c>
      <c r="D72" s="13" t="s">
        <v>4219</v>
      </c>
      <c r="E72" s="14" t="s">
        <v>12</v>
      </c>
      <c r="F72" s="12" t="s">
        <v>3979</v>
      </c>
      <c r="G72" s="15" t="s">
        <v>3945</v>
      </c>
      <c r="H72" s="16" t="s">
        <v>4220</v>
      </c>
      <c r="I72" s="17" t="s">
        <v>4221</v>
      </c>
      <c r="J72" s="18" t="s">
        <v>4222</v>
      </c>
    </row>
    <row r="73" spans="1:10">
      <c r="A73" s="2">
        <v>70</v>
      </c>
      <c r="B73" s="11" t="s">
        <v>4223</v>
      </c>
      <c r="C73" s="12" t="s">
        <v>33</v>
      </c>
      <c r="D73" s="13" t="s">
        <v>4224</v>
      </c>
      <c r="E73" s="14" t="s">
        <v>12</v>
      </c>
      <c r="F73" s="12"/>
      <c r="G73" s="15"/>
      <c r="H73" s="16"/>
      <c r="I73" s="17" t="s">
        <v>4225</v>
      </c>
      <c r="J73" s="18"/>
    </row>
    <row r="74" spans="1:10">
      <c r="A74" s="2">
        <v>71</v>
      </c>
      <c r="B74" s="11" t="s">
        <v>4226</v>
      </c>
      <c r="C74" s="12" t="s">
        <v>2768</v>
      </c>
      <c r="D74" s="13" t="s">
        <v>4227</v>
      </c>
      <c r="E74" s="14" t="s">
        <v>12</v>
      </c>
      <c r="F74" s="12"/>
      <c r="G74" s="15"/>
      <c r="H74" s="16" t="s">
        <v>4228</v>
      </c>
      <c r="I74" s="17" t="s">
        <v>4229</v>
      </c>
      <c r="J74" s="18"/>
    </row>
    <row r="75" spans="1:10">
      <c r="A75" s="2">
        <v>72</v>
      </c>
      <c r="B75" s="11" t="s">
        <v>4230</v>
      </c>
      <c r="C75" s="12" t="s">
        <v>23</v>
      </c>
      <c r="D75" s="13" t="s">
        <v>4231</v>
      </c>
      <c r="E75" s="14" t="s">
        <v>12</v>
      </c>
      <c r="F75" s="12" t="s">
        <v>3979</v>
      </c>
      <c r="G75" s="15" t="s">
        <v>3957</v>
      </c>
      <c r="H75" s="16" t="s">
        <v>4232</v>
      </c>
      <c r="I75" s="17" t="s">
        <v>4233</v>
      </c>
      <c r="J75" s="18" t="s">
        <v>4234</v>
      </c>
    </row>
    <row r="76" spans="1:10">
      <c r="A76" s="2">
        <v>73</v>
      </c>
      <c r="B76" s="3" t="s">
        <v>4235</v>
      </c>
      <c r="C76" s="4" t="s">
        <v>75</v>
      </c>
      <c r="D76" s="5" t="s">
        <v>4236</v>
      </c>
      <c r="E76" s="6" t="s">
        <v>9</v>
      </c>
      <c r="F76" s="4" t="s">
        <v>3944</v>
      </c>
      <c r="G76" s="7" t="s">
        <v>4237</v>
      </c>
      <c r="H76" s="8" t="s">
        <v>4238</v>
      </c>
      <c r="I76" s="9" t="s">
        <v>4239</v>
      </c>
      <c r="J76" s="21" t="s">
        <v>4240</v>
      </c>
    </row>
    <row r="77" spans="1:10">
      <c r="A77" s="2">
        <v>74</v>
      </c>
      <c r="B77" s="11" t="s">
        <v>4241</v>
      </c>
      <c r="C77" s="12" t="s">
        <v>19</v>
      </c>
      <c r="D77" s="13" t="s">
        <v>4242</v>
      </c>
      <c r="E77" s="14" t="s">
        <v>12</v>
      </c>
      <c r="F77" s="12" t="s">
        <v>4083</v>
      </c>
      <c r="G77" s="15" t="s">
        <v>4084</v>
      </c>
      <c r="H77" s="16" t="s">
        <v>4243</v>
      </c>
      <c r="I77" s="17" t="s">
        <v>4244</v>
      </c>
      <c r="J77" s="18" t="s">
        <v>4245</v>
      </c>
    </row>
    <row r="78" spans="1:10">
      <c r="A78" s="2">
        <v>75</v>
      </c>
      <c r="B78" s="3" t="s">
        <v>4246</v>
      </c>
      <c r="C78" s="4" t="s">
        <v>218</v>
      </c>
      <c r="D78" s="5" t="s">
        <v>4247</v>
      </c>
      <c r="E78" s="6" t="s">
        <v>12</v>
      </c>
      <c r="F78" s="4" t="s">
        <v>3911</v>
      </c>
      <c r="G78" s="7" t="s">
        <v>4059</v>
      </c>
      <c r="H78" s="8" t="s">
        <v>4248</v>
      </c>
      <c r="I78" s="9" t="s">
        <v>4249</v>
      </c>
      <c r="J78" s="21" t="s">
        <v>4250</v>
      </c>
    </row>
    <row r="79" spans="1:10">
      <c r="A79" s="2">
        <v>76</v>
      </c>
      <c r="B79" s="3" t="s">
        <v>4251</v>
      </c>
      <c r="C79" s="4" t="s">
        <v>43</v>
      </c>
      <c r="D79" s="5" t="s">
        <v>4252</v>
      </c>
      <c r="E79" s="6" t="s">
        <v>12</v>
      </c>
      <c r="F79" s="4" t="s">
        <v>4041</v>
      </c>
      <c r="G79" s="7" t="s">
        <v>3924</v>
      </c>
      <c r="H79" s="8" t="s">
        <v>4253</v>
      </c>
      <c r="I79" s="9" t="s">
        <v>4254</v>
      </c>
      <c r="J79" s="21"/>
    </row>
    <row r="80" spans="1:10">
      <c r="A80" s="2">
        <v>77</v>
      </c>
      <c r="B80" s="11" t="s">
        <v>4255</v>
      </c>
      <c r="C80" s="12" t="s">
        <v>27</v>
      </c>
      <c r="D80" s="13" t="s">
        <v>4256</v>
      </c>
      <c r="E80" s="14" t="s">
        <v>12</v>
      </c>
      <c r="F80" s="12" t="s">
        <v>4038</v>
      </c>
      <c r="G80" s="15" t="s">
        <v>4049</v>
      </c>
      <c r="H80" s="16" t="s">
        <v>4257</v>
      </c>
      <c r="I80" s="17" t="s">
        <v>4196</v>
      </c>
      <c r="J80" s="18" t="s">
        <v>4258</v>
      </c>
    </row>
    <row r="81" spans="1:10">
      <c r="A81" s="2">
        <v>78</v>
      </c>
      <c r="B81" s="9" t="s">
        <v>4259</v>
      </c>
      <c r="C81" s="26" t="s">
        <v>19</v>
      </c>
      <c r="D81" s="21" t="s">
        <v>4260</v>
      </c>
      <c r="E81" s="27" t="s">
        <v>12</v>
      </c>
      <c r="F81" s="26" t="s">
        <v>4261</v>
      </c>
      <c r="G81" s="28" t="s">
        <v>3998</v>
      </c>
      <c r="H81" s="8" t="s">
        <v>4262</v>
      </c>
      <c r="I81" s="9" t="s">
        <v>4263</v>
      </c>
      <c r="J81" s="21"/>
    </row>
    <row r="82" spans="1:10">
      <c r="A82" s="2">
        <v>79</v>
      </c>
      <c r="B82" s="3" t="s">
        <v>4264</v>
      </c>
      <c r="C82" s="4" t="s">
        <v>2120</v>
      </c>
      <c r="D82" s="5" t="s">
        <v>4265</v>
      </c>
      <c r="E82" s="6" t="s">
        <v>9</v>
      </c>
      <c r="F82" s="4" t="s">
        <v>4144</v>
      </c>
      <c r="G82" s="7" t="s">
        <v>4141</v>
      </c>
      <c r="H82" s="8" t="s">
        <v>4266</v>
      </c>
      <c r="I82" s="9" t="s">
        <v>4267</v>
      </c>
      <c r="J82" s="21"/>
    </row>
    <row r="83" spans="1:10">
      <c r="A83" s="2">
        <v>80</v>
      </c>
      <c r="B83" s="3" t="s">
        <v>4268</v>
      </c>
      <c r="C83" s="4" t="s">
        <v>138</v>
      </c>
      <c r="D83" s="5" t="s">
        <v>4269</v>
      </c>
      <c r="E83" s="6" t="s">
        <v>12</v>
      </c>
      <c r="F83" s="4" t="s">
        <v>3923</v>
      </c>
      <c r="G83" s="7" t="s">
        <v>3924</v>
      </c>
      <c r="H83" s="8" t="s">
        <v>4270</v>
      </c>
      <c r="I83" s="9"/>
      <c r="J83" s="21" t="s">
        <v>4271</v>
      </c>
    </row>
    <row r="84" spans="1:10">
      <c r="A84" s="2">
        <v>81</v>
      </c>
      <c r="B84" s="11" t="s">
        <v>4272</v>
      </c>
      <c r="C84" s="12" t="s">
        <v>21</v>
      </c>
      <c r="D84" s="13" t="s">
        <v>4273</v>
      </c>
      <c r="E84" s="14" t="s">
        <v>12</v>
      </c>
      <c r="F84" s="12" t="s">
        <v>4274</v>
      </c>
      <c r="G84" s="15" t="s">
        <v>4155</v>
      </c>
      <c r="H84" s="17"/>
      <c r="I84" s="17"/>
      <c r="J84" s="18"/>
    </row>
    <row r="85" spans="1:10">
      <c r="A85" s="2">
        <v>82</v>
      </c>
      <c r="B85" s="3" t="s">
        <v>4275</v>
      </c>
      <c r="C85" s="4" t="s">
        <v>57</v>
      </c>
      <c r="D85" s="5" t="s">
        <v>4276</v>
      </c>
      <c r="E85" s="6" t="s">
        <v>12</v>
      </c>
      <c r="F85" s="4" t="s">
        <v>4277</v>
      </c>
      <c r="G85" s="7" t="s">
        <v>4059</v>
      </c>
      <c r="H85" s="9"/>
      <c r="I85" s="9"/>
      <c r="J85" s="21"/>
    </row>
    <row r="86" spans="1:10">
      <c r="A86" s="2">
        <v>83</v>
      </c>
      <c r="B86" s="3" t="s">
        <v>4278</v>
      </c>
      <c r="C86" s="4" t="s">
        <v>23</v>
      </c>
      <c r="D86" s="13" t="s">
        <v>4279</v>
      </c>
      <c r="E86" s="6" t="s">
        <v>12</v>
      </c>
      <c r="F86" s="4" t="s">
        <v>3979</v>
      </c>
      <c r="G86" s="7" t="s">
        <v>4280</v>
      </c>
      <c r="H86" s="8" t="s">
        <v>4281</v>
      </c>
      <c r="I86" s="9" t="s">
        <v>4282</v>
      </c>
      <c r="J86" s="21"/>
    </row>
    <row r="87" spans="1:10">
      <c r="A87" s="2">
        <v>84</v>
      </c>
      <c r="B87" s="11" t="s">
        <v>4283</v>
      </c>
      <c r="C87" s="12" t="s">
        <v>138</v>
      </c>
      <c r="D87" s="13" t="s">
        <v>4284</v>
      </c>
      <c r="E87" s="14" t="s">
        <v>9</v>
      </c>
      <c r="F87" s="12" t="s">
        <v>4181</v>
      </c>
      <c r="G87" s="15" t="s">
        <v>4049</v>
      </c>
      <c r="H87" s="16" t="s">
        <v>4285</v>
      </c>
      <c r="I87" s="9" t="s">
        <v>4286</v>
      </c>
      <c r="J87" s="21" t="s">
        <v>4287</v>
      </c>
    </row>
    <row r="88" spans="1:10">
      <c r="A88" s="2">
        <v>85</v>
      </c>
      <c r="B88" s="11" t="s">
        <v>4288</v>
      </c>
      <c r="C88" s="12" t="s">
        <v>207</v>
      </c>
      <c r="D88" s="13" t="s">
        <v>4289</v>
      </c>
      <c r="E88" s="14" t="s">
        <v>9</v>
      </c>
      <c r="F88" s="12" t="s">
        <v>3956</v>
      </c>
      <c r="G88" s="15" t="s">
        <v>4290</v>
      </c>
      <c r="H88" s="16" t="s">
        <v>4291</v>
      </c>
      <c r="I88" s="17" t="s">
        <v>4292</v>
      </c>
      <c r="J88" s="18" t="s">
        <v>4293</v>
      </c>
    </row>
    <row r="89" spans="1:10">
      <c r="A89" s="2">
        <v>86</v>
      </c>
      <c r="B89" s="3" t="s">
        <v>4294</v>
      </c>
      <c r="C89" s="4" t="s">
        <v>218</v>
      </c>
      <c r="D89" s="5" t="s">
        <v>4295</v>
      </c>
      <c r="E89" s="6" t="s">
        <v>9</v>
      </c>
      <c r="F89" s="4" t="s">
        <v>3956</v>
      </c>
      <c r="G89" s="7" t="s">
        <v>3998</v>
      </c>
      <c r="H89" s="8" t="s">
        <v>4296</v>
      </c>
      <c r="I89" s="9" t="s">
        <v>4297</v>
      </c>
      <c r="J89" s="21"/>
    </row>
    <row r="90" spans="1:10">
      <c r="A90" s="2">
        <v>87</v>
      </c>
      <c r="B90" s="11" t="s">
        <v>4298</v>
      </c>
      <c r="C90" s="12" t="s">
        <v>33</v>
      </c>
      <c r="D90" s="13" t="s">
        <v>4299</v>
      </c>
      <c r="E90" s="14" t="s">
        <v>12</v>
      </c>
      <c r="F90" s="12" t="s">
        <v>4089</v>
      </c>
      <c r="G90" s="15" t="s">
        <v>4049</v>
      </c>
      <c r="H90" s="17"/>
      <c r="I90" s="17"/>
      <c r="J90" s="18"/>
    </row>
    <row r="91" spans="1:10">
      <c r="A91" s="2">
        <v>88</v>
      </c>
      <c r="B91" s="3" t="s">
        <v>4300</v>
      </c>
      <c r="C91" s="4" t="s">
        <v>33</v>
      </c>
      <c r="D91" s="5" t="s">
        <v>4301</v>
      </c>
      <c r="E91" s="6" t="s">
        <v>9</v>
      </c>
      <c r="F91" s="4" t="s">
        <v>3997</v>
      </c>
      <c r="G91" s="7" t="s">
        <v>4059</v>
      </c>
      <c r="H91" s="8" t="s">
        <v>4302</v>
      </c>
      <c r="I91" s="9" t="s">
        <v>4303</v>
      </c>
      <c r="J91" s="21"/>
    </row>
    <row r="92" spans="1:10">
      <c r="A92" s="2">
        <v>89</v>
      </c>
      <c r="B92" s="11" t="s">
        <v>4304</v>
      </c>
      <c r="C92" s="12" t="s">
        <v>57</v>
      </c>
      <c r="D92" s="13" t="s">
        <v>4305</v>
      </c>
      <c r="E92" s="14" t="s">
        <v>9</v>
      </c>
      <c r="F92" s="12" t="s">
        <v>4008</v>
      </c>
      <c r="G92" s="15" t="s">
        <v>4022</v>
      </c>
      <c r="H92" s="16" t="s">
        <v>4306</v>
      </c>
      <c r="I92" s="17" t="s">
        <v>4135</v>
      </c>
      <c r="J92" s="18" t="s">
        <v>4307</v>
      </c>
    </row>
    <row r="93" spans="1:10">
      <c r="A93" s="2">
        <v>90</v>
      </c>
      <c r="B93" s="3" t="s">
        <v>4308</v>
      </c>
      <c r="C93" s="4" t="s">
        <v>4309</v>
      </c>
      <c r="D93" s="19" t="s">
        <v>4310</v>
      </c>
      <c r="E93" s="20" t="s">
        <v>9</v>
      </c>
      <c r="F93" s="12"/>
      <c r="G93" s="15"/>
      <c r="H93" s="17"/>
      <c r="I93" s="9"/>
      <c r="J93" s="9"/>
    </row>
    <row r="94" spans="1:10">
      <c r="A94" s="2">
        <v>91</v>
      </c>
      <c r="B94" s="11" t="s">
        <v>4311</v>
      </c>
      <c r="C94" s="12" t="s">
        <v>2768</v>
      </c>
      <c r="D94" s="13" t="s">
        <v>4312</v>
      </c>
      <c r="E94" s="14" t="s">
        <v>12</v>
      </c>
      <c r="F94" s="12" t="s">
        <v>3956</v>
      </c>
      <c r="G94" s="15" t="s">
        <v>4290</v>
      </c>
      <c r="H94" s="16" t="s">
        <v>4313</v>
      </c>
      <c r="I94" s="17"/>
      <c r="J94" s="18"/>
    </row>
    <row r="95" spans="1:10">
      <c r="A95" s="2">
        <v>92</v>
      </c>
      <c r="B95" s="11" t="s">
        <v>4314</v>
      </c>
      <c r="C95" s="12" t="s">
        <v>144</v>
      </c>
      <c r="D95" s="13" t="s">
        <v>4315</v>
      </c>
      <c r="E95" s="14" t="s">
        <v>9</v>
      </c>
      <c r="F95" s="12" t="s">
        <v>3956</v>
      </c>
      <c r="G95" s="15" t="s">
        <v>3985</v>
      </c>
      <c r="H95" s="17"/>
      <c r="I95" s="17"/>
      <c r="J95" s="18"/>
    </row>
    <row r="96" spans="1:10">
      <c r="A96" s="2">
        <v>93</v>
      </c>
      <c r="B96" s="3" t="s">
        <v>4316</v>
      </c>
      <c r="C96" s="4" t="s">
        <v>31</v>
      </c>
      <c r="D96" s="5" t="s">
        <v>4317</v>
      </c>
      <c r="E96" s="6" t="s">
        <v>9</v>
      </c>
      <c r="F96" s="4" t="s">
        <v>4178</v>
      </c>
      <c r="G96" s="7" t="s">
        <v>3998</v>
      </c>
      <c r="H96" s="8" t="s">
        <v>4318</v>
      </c>
      <c r="I96" s="9" t="s">
        <v>4319</v>
      </c>
      <c r="J96" s="21" t="s">
        <v>4320</v>
      </c>
    </row>
    <row r="97" spans="1:10">
      <c r="A97" s="2">
        <v>94</v>
      </c>
      <c r="B97" s="11" t="s">
        <v>4321</v>
      </c>
      <c r="C97" s="12" t="s">
        <v>14</v>
      </c>
      <c r="D97" s="13" t="s">
        <v>4322</v>
      </c>
      <c r="E97" s="14" t="s">
        <v>12</v>
      </c>
      <c r="F97" s="12" t="s">
        <v>3997</v>
      </c>
      <c r="G97" s="15" t="s">
        <v>3917</v>
      </c>
      <c r="H97" s="16" t="s">
        <v>4323</v>
      </c>
      <c r="I97" s="17" t="s">
        <v>4324</v>
      </c>
      <c r="J97" s="18" t="s">
        <v>4325</v>
      </c>
    </row>
    <row r="98" spans="1:10">
      <c r="A98" s="2">
        <v>95</v>
      </c>
      <c r="B98" s="3" t="s">
        <v>4326</v>
      </c>
      <c r="C98" s="4" t="s">
        <v>64</v>
      </c>
      <c r="D98" s="5" t="s">
        <v>4327</v>
      </c>
      <c r="E98" s="6" t="s">
        <v>9</v>
      </c>
      <c r="F98" s="4" t="s">
        <v>4008</v>
      </c>
      <c r="G98" s="7" t="s">
        <v>3998</v>
      </c>
      <c r="H98" s="8" t="s">
        <v>4328</v>
      </c>
      <c r="I98" s="9" t="s">
        <v>4329</v>
      </c>
      <c r="J98" s="21" t="s">
        <v>4330</v>
      </c>
    </row>
    <row r="99" spans="1:10">
      <c r="A99" s="2">
        <v>96</v>
      </c>
      <c r="B99" s="11" t="s">
        <v>4331</v>
      </c>
      <c r="C99" s="12" t="s">
        <v>33</v>
      </c>
      <c r="D99" s="13" t="s">
        <v>4332</v>
      </c>
      <c r="E99" s="14" t="s">
        <v>12</v>
      </c>
      <c r="F99" s="12" t="s">
        <v>4200</v>
      </c>
      <c r="G99" s="15" t="s">
        <v>4022</v>
      </c>
      <c r="H99" s="16" t="s">
        <v>4333</v>
      </c>
      <c r="I99" s="17" t="s">
        <v>4334</v>
      </c>
      <c r="J99" s="18" t="s">
        <v>4335</v>
      </c>
    </row>
    <row r="100" spans="1:10">
      <c r="A100" s="2">
        <v>97</v>
      </c>
      <c r="B100" s="11" t="s">
        <v>4336</v>
      </c>
      <c r="C100" s="12" t="s">
        <v>162</v>
      </c>
      <c r="D100" s="13" t="s">
        <v>4337</v>
      </c>
      <c r="E100" s="14" t="s">
        <v>12</v>
      </c>
      <c r="F100" s="12" t="s">
        <v>4041</v>
      </c>
      <c r="G100" s="15" t="s">
        <v>4059</v>
      </c>
      <c r="H100" s="16" t="s">
        <v>4338</v>
      </c>
      <c r="I100" s="17" t="s">
        <v>4339</v>
      </c>
      <c r="J100" s="18"/>
    </row>
    <row r="101" spans="1:10">
      <c r="A101" s="2">
        <v>98</v>
      </c>
      <c r="B101" s="3" t="s">
        <v>4340</v>
      </c>
      <c r="C101" s="4"/>
      <c r="D101" s="13" t="s">
        <v>4341</v>
      </c>
      <c r="E101" s="6" t="s">
        <v>12</v>
      </c>
      <c r="F101" s="12" t="s">
        <v>3911</v>
      </c>
      <c r="G101" s="15" t="s">
        <v>4022</v>
      </c>
      <c r="H101" s="16"/>
      <c r="I101" s="9" t="s">
        <v>4135</v>
      </c>
      <c r="J101" s="21" t="s">
        <v>4342</v>
      </c>
    </row>
    <row r="102" spans="1:10">
      <c r="A102" s="2">
        <v>99</v>
      </c>
      <c r="B102" s="3" t="s">
        <v>4343</v>
      </c>
      <c r="C102" s="4" t="s">
        <v>10</v>
      </c>
      <c r="D102" s="5" t="s">
        <v>4344</v>
      </c>
      <c r="E102" s="6" t="s">
        <v>9</v>
      </c>
      <c r="F102" s="4" t="s">
        <v>4041</v>
      </c>
      <c r="G102" s="7" t="s">
        <v>4280</v>
      </c>
      <c r="H102" s="8" t="s">
        <v>4345</v>
      </c>
      <c r="I102" s="9" t="s">
        <v>4346</v>
      </c>
      <c r="J102" s="21" t="s">
        <v>4347</v>
      </c>
    </row>
    <row r="103" spans="1:10">
      <c r="A103" s="2">
        <v>100</v>
      </c>
      <c r="B103" s="11" t="s">
        <v>4348</v>
      </c>
      <c r="C103" s="12" t="s">
        <v>2768</v>
      </c>
      <c r="D103" s="13" t="s">
        <v>4349</v>
      </c>
      <c r="E103" s="14" t="s">
        <v>12</v>
      </c>
      <c r="F103" s="12" t="s">
        <v>3994</v>
      </c>
      <c r="G103" s="15" t="s">
        <v>4141</v>
      </c>
      <c r="H103" s="16" t="s">
        <v>4350</v>
      </c>
      <c r="I103" s="17"/>
      <c r="J103" s="18"/>
    </row>
    <row r="104" spans="1:10">
      <c r="A104" s="2">
        <v>101</v>
      </c>
      <c r="B104" s="11" t="s">
        <v>4351</v>
      </c>
      <c r="C104" s="12" t="s">
        <v>23</v>
      </c>
      <c r="D104" s="13" t="s">
        <v>4352</v>
      </c>
      <c r="E104" s="14" t="s">
        <v>12</v>
      </c>
      <c r="F104" s="12" t="s">
        <v>4041</v>
      </c>
      <c r="G104" s="15" t="s">
        <v>4110</v>
      </c>
      <c r="H104" s="16" t="s">
        <v>4353</v>
      </c>
      <c r="I104" s="17"/>
      <c r="J104" s="18"/>
    </row>
    <row r="105" spans="1:10">
      <c r="A105" s="2">
        <v>102</v>
      </c>
      <c r="B105" s="3" t="s">
        <v>4354</v>
      </c>
      <c r="C105" s="4" t="s">
        <v>38</v>
      </c>
      <c r="D105" s="5" t="s">
        <v>4355</v>
      </c>
      <c r="E105" s="6" t="s">
        <v>12</v>
      </c>
      <c r="F105" s="4" t="s">
        <v>3911</v>
      </c>
      <c r="G105" s="7" t="s">
        <v>3917</v>
      </c>
      <c r="H105" s="8" t="s">
        <v>4356</v>
      </c>
      <c r="I105" s="9" t="s">
        <v>4357</v>
      </c>
      <c r="J105" s="21"/>
    </row>
    <row r="106" spans="1:10">
      <c r="A106" s="2">
        <v>103</v>
      </c>
      <c r="B106" s="11" t="s">
        <v>4358</v>
      </c>
      <c r="C106" s="12" t="s">
        <v>16</v>
      </c>
      <c r="D106" s="13" t="s">
        <v>4359</v>
      </c>
      <c r="E106" s="14" t="s">
        <v>9</v>
      </c>
      <c r="F106" s="12" t="s">
        <v>3911</v>
      </c>
      <c r="G106" s="15" t="s">
        <v>4032</v>
      </c>
      <c r="H106" s="16" t="s">
        <v>4360</v>
      </c>
      <c r="I106" s="9" t="s">
        <v>4357</v>
      </c>
      <c r="J106" s="21"/>
    </row>
    <row r="107" spans="1:10">
      <c r="A107" s="2">
        <v>104</v>
      </c>
      <c r="B107" s="3" t="s">
        <v>4361</v>
      </c>
      <c r="C107" s="4" t="s">
        <v>57</v>
      </c>
      <c r="D107" s="5" t="s">
        <v>4362</v>
      </c>
      <c r="E107" s="6" t="s">
        <v>12</v>
      </c>
      <c r="F107" s="4" t="s">
        <v>4363</v>
      </c>
      <c r="G107" s="7" t="s">
        <v>4161</v>
      </c>
      <c r="H107" s="8" t="s">
        <v>4364</v>
      </c>
      <c r="I107" s="9" t="s">
        <v>4365</v>
      </c>
      <c r="J107" s="21"/>
    </row>
    <row r="108" spans="1:10">
      <c r="A108" s="2">
        <v>105</v>
      </c>
      <c r="B108" s="11" t="s">
        <v>4366</v>
      </c>
      <c r="C108" s="12" t="s">
        <v>45</v>
      </c>
      <c r="D108" s="13" t="s">
        <v>4367</v>
      </c>
      <c r="E108" s="14" t="s">
        <v>12</v>
      </c>
      <c r="F108" s="12" t="s">
        <v>3956</v>
      </c>
      <c r="G108" s="15" t="s">
        <v>4120</v>
      </c>
      <c r="H108" s="16" t="s">
        <v>4368</v>
      </c>
      <c r="I108" s="17" t="s">
        <v>4369</v>
      </c>
      <c r="J108" s="18"/>
    </row>
    <row r="109" spans="1:10">
      <c r="A109" s="2">
        <v>106</v>
      </c>
      <c r="B109" s="11" t="s">
        <v>4370</v>
      </c>
      <c r="C109" s="12" t="s">
        <v>1962</v>
      </c>
      <c r="D109" s="13" t="s">
        <v>4371</v>
      </c>
      <c r="E109" s="14" t="s">
        <v>12</v>
      </c>
      <c r="F109" s="12" t="s">
        <v>3911</v>
      </c>
      <c r="G109" s="15" t="s">
        <v>4032</v>
      </c>
      <c r="H109" s="16" t="s">
        <v>4372</v>
      </c>
      <c r="I109" s="17"/>
      <c r="J109" s="18" t="s">
        <v>4373</v>
      </c>
    </row>
    <row r="110" spans="1:10">
      <c r="A110" s="2">
        <v>107</v>
      </c>
      <c r="B110" s="3" t="s">
        <v>4374</v>
      </c>
      <c r="C110" s="4" t="s">
        <v>213</v>
      </c>
      <c r="D110" s="5" t="s">
        <v>4375</v>
      </c>
      <c r="E110" s="6" t="s">
        <v>12</v>
      </c>
      <c r="F110" s="4" t="s">
        <v>4376</v>
      </c>
      <c r="G110" s="7" t="s">
        <v>3917</v>
      </c>
      <c r="H110" s="9"/>
      <c r="I110" s="9"/>
      <c r="J110" s="21"/>
    </row>
    <row r="111" spans="1:10">
      <c r="A111" s="2">
        <v>108</v>
      </c>
      <c r="B111" s="3" t="s">
        <v>4377</v>
      </c>
      <c r="C111" s="4" t="s">
        <v>27</v>
      </c>
      <c r="D111" s="5" t="s">
        <v>4378</v>
      </c>
      <c r="E111" s="6" t="s">
        <v>9</v>
      </c>
      <c r="F111" s="4" t="s">
        <v>3923</v>
      </c>
      <c r="G111" s="7" t="s">
        <v>4290</v>
      </c>
      <c r="H111" s="8" t="s">
        <v>4379</v>
      </c>
      <c r="I111" s="9" t="s">
        <v>4380</v>
      </c>
      <c r="J111" s="21" t="s">
        <v>4381</v>
      </c>
    </row>
    <row r="112" spans="1:10">
      <c r="A112" s="2">
        <v>109</v>
      </c>
      <c r="B112" s="11" t="s">
        <v>4382</v>
      </c>
      <c r="C112" s="12" t="s">
        <v>16</v>
      </c>
      <c r="D112" s="13" t="s">
        <v>4383</v>
      </c>
      <c r="E112" s="14" t="s">
        <v>9</v>
      </c>
      <c r="F112" s="12" t="s">
        <v>4008</v>
      </c>
      <c r="G112" s="15" t="s">
        <v>3963</v>
      </c>
      <c r="H112" s="17"/>
      <c r="I112" s="17"/>
      <c r="J112" s="18"/>
    </row>
    <row r="113" spans="1:10">
      <c r="A113" s="2">
        <v>110</v>
      </c>
      <c r="B113" s="3" t="s">
        <v>4384</v>
      </c>
      <c r="C113" s="4" t="s">
        <v>31</v>
      </c>
      <c r="D113" s="5" t="s">
        <v>4385</v>
      </c>
      <c r="E113" s="6" t="s">
        <v>12</v>
      </c>
      <c r="F113" s="4" t="s">
        <v>3944</v>
      </c>
      <c r="G113" s="7" t="s">
        <v>3917</v>
      </c>
      <c r="H113" s="8" t="s">
        <v>4386</v>
      </c>
      <c r="I113" s="9" t="s">
        <v>4387</v>
      </c>
      <c r="J113" s="21" t="s">
        <v>4388</v>
      </c>
    </row>
    <row r="114" spans="1:10">
      <c r="A114" s="2">
        <v>111</v>
      </c>
      <c r="B114" s="3" t="s">
        <v>4389</v>
      </c>
      <c r="C114" s="4" t="s">
        <v>3931</v>
      </c>
      <c r="D114" s="19" t="s">
        <v>4390</v>
      </c>
      <c r="E114" s="20" t="s">
        <v>12</v>
      </c>
      <c r="F114" s="12"/>
      <c r="G114" s="15"/>
      <c r="H114" s="17"/>
      <c r="I114" s="9"/>
      <c r="J114" s="9"/>
    </row>
    <row r="115" spans="1:10">
      <c r="A115" s="2">
        <v>112</v>
      </c>
      <c r="B115" s="11" t="s">
        <v>4391</v>
      </c>
      <c r="C115" s="12" t="s">
        <v>16</v>
      </c>
      <c r="D115" s="13" t="s">
        <v>4392</v>
      </c>
      <c r="E115" s="14" t="s">
        <v>9</v>
      </c>
      <c r="F115" s="12" t="s">
        <v>3997</v>
      </c>
      <c r="G115" s="15" t="s">
        <v>3980</v>
      </c>
      <c r="H115" s="16" t="s">
        <v>4393</v>
      </c>
      <c r="I115" s="17"/>
      <c r="J115" s="18"/>
    </row>
    <row r="116" spans="1:10">
      <c r="A116" s="2">
        <v>113</v>
      </c>
      <c r="B116" s="3" t="s">
        <v>4394</v>
      </c>
      <c r="C116" s="4" t="s">
        <v>57</v>
      </c>
      <c r="D116" s="5" t="s">
        <v>4395</v>
      </c>
      <c r="E116" s="6" t="s">
        <v>12</v>
      </c>
      <c r="F116" s="4" t="s">
        <v>3944</v>
      </c>
      <c r="G116" s="7" t="s">
        <v>4059</v>
      </c>
      <c r="H116" s="9"/>
      <c r="I116" s="9"/>
      <c r="J116" s="21"/>
    </row>
    <row r="117" spans="1:10">
      <c r="A117" s="2">
        <v>114</v>
      </c>
      <c r="B117" s="11" t="s">
        <v>4396</v>
      </c>
      <c r="C117" s="12" t="s">
        <v>45</v>
      </c>
      <c r="D117" s="13" t="s">
        <v>4397</v>
      </c>
      <c r="E117" s="14" t="s">
        <v>12</v>
      </c>
      <c r="F117" s="12" t="s">
        <v>4274</v>
      </c>
      <c r="G117" s="15" t="s">
        <v>4032</v>
      </c>
      <c r="H117" s="16" t="s">
        <v>4398</v>
      </c>
      <c r="I117" s="17" t="s">
        <v>4399</v>
      </c>
      <c r="J117" s="18"/>
    </row>
    <row r="118" spans="1:10">
      <c r="A118" s="2">
        <v>115</v>
      </c>
      <c r="B118" s="3" t="s">
        <v>4400</v>
      </c>
      <c r="C118" s="4" t="s">
        <v>144</v>
      </c>
      <c r="D118" s="13" t="s">
        <v>4401</v>
      </c>
      <c r="E118" s="6" t="s">
        <v>12</v>
      </c>
      <c r="F118" s="12" t="s">
        <v>4402</v>
      </c>
      <c r="G118" s="15" t="s">
        <v>3902</v>
      </c>
      <c r="H118" s="16"/>
      <c r="I118" s="9" t="s">
        <v>1118</v>
      </c>
      <c r="J118" s="21"/>
    </row>
    <row r="119" spans="1:10">
      <c r="A119" s="2">
        <v>116</v>
      </c>
      <c r="B119" s="11" t="s">
        <v>4403</v>
      </c>
      <c r="C119" s="12" t="s">
        <v>45</v>
      </c>
      <c r="D119" s="13" t="s">
        <v>4404</v>
      </c>
      <c r="E119" s="14" t="s">
        <v>12</v>
      </c>
      <c r="F119" s="12"/>
      <c r="G119" s="15"/>
      <c r="H119" s="16" t="s">
        <v>4405</v>
      </c>
      <c r="I119" s="17" t="s">
        <v>4406</v>
      </c>
      <c r="J119" s="18"/>
    </row>
    <row r="120" spans="1:10">
      <c r="A120" s="2">
        <v>117</v>
      </c>
      <c r="B120" s="3" t="s">
        <v>4407</v>
      </c>
      <c r="C120" s="4" t="s">
        <v>96</v>
      </c>
      <c r="D120" s="5" t="s">
        <v>4408</v>
      </c>
      <c r="E120" s="6" t="s">
        <v>9</v>
      </c>
      <c r="F120" s="4" t="s">
        <v>3944</v>
      </c>
      <c r="G120" s="7" t="s">
        <v>4032</v>
      </c>
      <c r="H120" s="9"/>
      <c r="I120" s="9" t="s">
        <v>4409</v>
      </c>
      <c r="J120" s="21"/>
    </row>
    <row r="121" spans="1:10">
      <c r="A121" s="2">
        <v>118</v>
      </c>
      <c r="B121" s="3" t="s">
        <v>4410</v>
      </c>
      <c r="C121" s="4" t="s">
        <v>53</v>
      </c>
      <c r="D121" s="5" t="s">
        <v>4411</v>
      </c>
      <c r="E121" s="6" t="s">
        <v>12</v>
      </c>
      <c r="F121" s="4" t="s">
        <v>3944</v>
      </c>
      <c r="G121" s="7" t="s">
        <v>4280</v>
      </c>
      <c r="H121" s="8" t="s">
        <v>4412</v>
      </c>
      <c r="I121" s="9" t="s">
        <v>4413</v>
      </c>
      <c r="J121" s="21" t="s">
        <v>4414</v>
      </c>
    </row>
    <row r="122" spans="1:10">
      <c r="A122" s="2">
        <v>119</v>
      </c>
      <c r="B122" s="3" t="s">
        <v>4415</v>
      </c>
      <c r="C122" s="4"/>
      <c r="D122" s="5" t="s">
        <v>4416</v>
      </c>
      <c r="E122" s="6" t="s">
        <v>12</v>
      </c>
      <c r="F122" s="4" t="s">
        <v>3979</v>
      </c>
      <c r="G122" s="7" t="s">
        <v>3924</v>
      </c>
      <c r="H122" s="8" t="s">
        <v>4417</v>
      </c>
      <c r="I122" s="9" t="s">
        <v>4418</v>
      </c>
      <c r="J122" s="21"/>
    </row>
    <row r="123" spans="1:10">
      <c r="A123" s="2">
        <v>120</v>
      </c>
      <c r="B123" s="11" t="s">
        <v>4419</v>
      </c>
      <c r="C123" s="12" t="s">
        <v>27</v>
      </c>
      <c r="D123" s="13" t="s">
        <v>4420</v>
      </c>
      <c r="E123" s="14" t="s">
        <v>12</v>
      </c>
      <c r="F123" s="12" t="s">
        <v>4095</v>
      </c>
      <c r="G123" s="29" t="s">
        <v>4155</v>
      </c>
      <c r="H123" s="30" t="s">
        <v>4421</v>
      </c>
      <c r="I123" s="31" t="s">
        <v>4422</v>
      </c>
      <c r="J123" s="18" t="s">
        <v>4423</v>
      </c>
    </row>
    <row r="124" spans="1:10">
      <c r="A124" s="2">
        <v>121</v>
      </c>
      <c r="B124" s="3" t="s">
        <v>4424</v>
      </c>
      <c r="C124" s="4" t="s">
        <v>138</v>
      </c>
      <c r="D124" s="5" t="s">
        <v>4425</v>
      </c>
      <c r="E124" s="6" t="s">
        <v>12</v>
      </c>
      <c r="F124" s="4" t="s">
        <v>4277</v>
      </c>
      <c r="G124" s="7" t="s">
        <v>4022</v>
      </c>
      <c r="H124" s="9"/>
      <c r="I124" s="9"/>
      <c r="J124" s="21"/>
    </row>
    <row r="125" spans="1:10">
      <c r="A125" s="2">
        <v>122</v>
      </c>
      <c r="B125" s="3" t="s">
        <v>4426</v>
      </c>
      <c r="C125" s="12" t="s">
        <v>14</v>
      </c>
      <c r="D125" s="13" t="s">
        <v>4427</v>
      </c>
      <c r="E125" s="6" t="s">
        <v>9</v>
      </c>
      <c r="F125" s="12" t="s">
        <v>4031</v>
      </c>
      <c r="G125" s="7" t="s">
        <v>4280</v>
      </c>
      <c r="H125" s="9" t="s">
        <v>4428</v>
      </c>
      <c r="I125" s="9" t="s">
        <v>4429</v>
      </c>
      <c r="J125" s="21"/>
    </row>
    <row r="126" spans="1:10">
      <c r="A126" s="2">
        <v>123</v>
      </c>
      <c r="B126" s="11" t="s">
        <v>4430</v>
      </c>
      <c r="C126" s="12" t="s">
        <v>21</v>
      </c>
      <c r="D126" s="13" t="s">
        <v>4431</v>
      </c>
      <c r="E126" s="14" t="s">
        <v>12</v>
      </c>
      <c r="F126" s="12" t="s">
        <v>4008</v>
      </c>
      <c r="G126" s="15" t="s">
        <v>4432</v>
      </c>
      <c r="H126" s="16" t="s">
        <v>4433</v>
      </c>
      <c r="I126" s="17" t="s">
        <v>4434</v>
      </c>
      <c r="J126" s="18" t="s">
        <v>4435</v>
      </c>
    </row>
    <row r="127" spans="1:10">
      <c r="A127" s="2">
        <v>124</v>
      </c>
      <c r="B127" s="11" t="s">
        <v>4436</v>
      </c>
      <c r="C127" s="12" t="s">
        <v>4437</v>
      </c>
      <c r="D127" s="13" t="s">
        <v>4438</v>
      </c>
      <c r="E127" s="14" t="s">
        <v>9</v>
      </c>
      <c r="F127" s="12" t="s">
        <v>4065</v>
      </c>
      <c r="G127" s="15" t="s">
        <v>3957</v>
      </c>
      <c r="H127" s="16" t="s">
        <v>4439</v>
      </c>
      <c r="I127" s="9" t="s">
        <v>4440</v>
      </c>
      <c r="J127" s="21" t="s">
        <v>4441</v>
      </c>
    </row>
    <row r="128" spans="1:10">
      <c r="A128" s="2">
        <v>125</v>
      </c>
      <c r="B128" s="3" t="s">
        <v>4442</v>
      </c>
      <c r="C128" s="4" t="s">
        <v>23</v>
      </c>
      <c r="D128" s="13"/>
      <c r="E128" s="6" t="s">
        <v>12</v>
      </c>
      <c r="F128" s="12"/>
      <c r="G128" s="15"/>
      <c r="H128" s="16"/>
      <c r="I128" s="9"/>
      <c r="J128" s="21"/>
    </row>
    <row r="129" spans="1:10">
      <c r="A129" s="2">
        <v>126</v>
      </c>
      <c r="B129" s="3" t="s">
        <v>4443</v>
      </c>
      <c r="C129" s="4" t="s">
        <v>144</v>
      </c>
      <c r="D129" s="5" t="s">
        <v>4444</v>
      </c>
      <c r="E129" s="6" t="s">
        <v>12</v>
      </c>
      <c r="F129" s="4" t="s">
        <v>3950</v>
      </c>
      <c r="G129" s="7" t="s">
        <v>4049</v>
      </c>
      <c r="H129" s="9"/>
      <c r="I129" s="9"/>
      <c r="J129" s="21"/>
    </row>
    <row r="130" spans="1:10">
      <c r="A130" s="2">
        <v>127</v>
      </c>
      <c r="B130" s="3" t="s">
        <v>4445</v>
      </c>
      <c r="C130" s="4" t="s">
        <v>14</v>
      </c>
      <c r="D130" s="5" t="s">
        <v>4446</v>
      </c>
      <c r="E130" s="6" t="s">
        <v>12</v>
      </c>
      <c r="F130" s="4" t="s">
        <v>4016</v>
      </c>
      <c r="G130" s="7" t="s">
        <v>4155</v>
      </c>
      <c r="H130" s="8" t="s">
        <v>4447</v>
      </c>
      <c r="I130" s="9" t="s">
        <v>4448</v>
      </c>
      <c r="J130" s="21" t="s">
        <v>4449</v>
      </c>
    </row>
    <row r="131" spans="1:10">
      <c r="A131" s="2">
        <v>128</v>
      </c>
      <c r="B131" s="11" t="s">
        <v>4450</v>
      </c>
      <c r="C131" s="12" t="s">
        <v>218</v>
      </c>
      <c r="D131" s="13" t="s">
        <v>4451</v>
      </c>
      <c r="E131" s="14" t="s">
        <v>9</v>
      </c>
      <c r="F131" s="12" t="s">
        <v>4041</v>
      </c>
      <c r="G131" s="15" t="s">
        <v>3902</v>
      </c>
      <c r="H131" s="16" t="s">
        <v>4452</v>
      </c>
      <c r="I131" s="17" t="s">
        <v>4453</v>
      </c>
      <c r="J131" s="18" t="s">
        <v>4454</v>
      </c>
    </row>
    <row r="132" spans="1:10">
      <c r="A132" s="2">
        <v>129</v>
      </c>
      <c r="B132" s="11" t="s">
        <v>4455</v>
      </c>
      <c r="C132" s="12" t="s">
        <v>21</v>
      </c>
      <c r="D132" s="13" t="s">
        <v>4456</v>
      </c>
      <c r="E132" s="14" t="s">
        <v>12</v>
      </c>
      <c r="F132" s="12" t="s">
        <v>4200</v>
      </c>
      <c r="G132" s="15" t="s">
        <v>4237</v>
      </c>
      <c r="H132" s="16" t="s">
        <v>4457</v>
      </c>
      <c r="I132" s="17" t="s">
        <v>4458</v>
      </c>
      <c r="J132" s="18"/>
    </row>
    <row r="133" spans="1:10">
      <c r="A133" s="2">
        <v>130</v>
      </c>
      <c r="B133" s="3" t="s">
        <v>4459</v>
      </c>
      <c r="C133" s="4" t="s">
        <v>218</v>
      </c>
      <c r="D133" s="5" t="s">
        <v>4460</v>
      </c>
      <c r="E133" s="6" t="s">
        <v>9</v>
      </c>
      <c r="F133" s="4" t="s">
        <v>4031</v>
      </c>
      <c r="G133" s="7" t="s">
        <v>4022</v>
      </c>
      <c r="H133" s="8" t="s">
        <v>4461</v>
      </c>
      <c r="I133" s="9" t="s">
        <v>4462</v>
      </c>
      <c r="J133" s="21"/>
    </row>
    <row r="134" spans="1:10">
      <c r="A134" s="2">
        <v>131</v>
      </c>
      <c r="B134" s="11" t="s">
        <v>4463</v>
      </c>
      <c r="C134" s="12" t="s">
        <v>118</v>
      </c>
      <c r="D134" s="13" t="s">
        <v>4464</v>
      </c>
      <c r="E134" s="14" t="s">
        <v>9</v>
      </c>
      <c r="F134" s="12" t="s">
        <v>4363</v>
      </c>
      <c r="G134" s="29" t="s">
        <v>4465</v>
      </c>
      <c r="H134" s="30" t="s">
        <v>4466</v>
      </c>
      <c r="I134" s="31" t="s">
        <v>4467</v>
      </c>
      <c r="J134" s="18" t="s">
        <v>4468</v>
      </c>
    </row>
    <row r="135" spans="1:10">
      <c r="A135" s="2">
        <v>132</v>
      </c>
      <c r="B135" s="3" t="s">
        <v>4469</v>
      </c>
      <c r="C135" s="4" t="s">
        <v>113</v>
      </c>
      <c r="D135" s="13" t="s">
        <v>4470</v>
      </c>
      <c r="E135" s="6" t="s">
        <v>12</v>
      </c>
      <c r="F135" s="12" t="s">
        <v>4363</v>
      </c>
      <c r="G135" s="29" t="s">
        <v>3998</v>
      </c>
      <c r="H135" s="30"/>
      <c r="I135" s="32"/>
      <c r="J135" s="21"/>
    </row>
    <row r="136" spans="1:10">
      <c r="A136" s="2">
        <v>133</v>
      </c>
      <c r="B136" s="3" t="s">
        <v>4471</v>
      </c>
      <c r="C136" s="4" t="s">
        <v>10</v>
      </c>
      <c r="D136" s="13" t="s">
        <v>4472</v>
      </c>
      <c r="E136" s="6" t="s">
        <v>9</v>
      </c>
      <c r="F136" s="12" t="s">
        <v>4031</v>
      </c>
      <c r="G136" s="29" t="s">
        <v>4141</v>
      </c>
      <c r="H136" s="30"/>
      <c r="I136" s="32" t="s">
        <v>4473</v>
      </c>
      <c r="J136" s="21" t="s">
        <v>4474</v>
      </c>
    </row>
    <row r="137" spans="1:10">
      <c r="A137" s="2">
        <v>134</v>
      </c>
      <c r="B137" s="3" t="s">
        <v>4475</v>
      </c>
      <c r="C137" s="4" t="s">
        <v>53</v>
      </c>
      <c r="D137" s="5" t="s">
        <v>4476</v>
      </c>
      <c r="E137" s="6" t="s">
        <v>9</v>
      </c>
      <c r="F137" s="4" t="s">
        <v>3916</v>
      </c>
      <c r="G137" s="7" t="s">
        <v>4022</v>
      </c>
      <c r="H137" s="8" t="s">
        <v>4477</v>
      </c>
      <c r="I137" s="9" t="s">
        <v>4196</v>
      </c>
      <c r="J137" s="21" t="s">
        <v>4478</v>
      </c>
    </row>
    <row r="138" spans="1:10">
      <c r="A138" s="2">
        <v>135</v>
      </c>
      <c r="B138" s="11" t="s">
        <v>4479</v>
      </c>
      <c r="C138" s="12" t="s">
        <v>118</v>
      </c>
      <c r="D138" s="13" t="s">
        <v>4480</v>
      </c>
      <c r="E138" s="14" t="s">
        <v>12</v>
      </c>
      <c r="F138" s="12" t="s">
        <v>4178</v>
      </c>
      <c r="G138" s="15" t="s">
        <v>3945</v>
      </c>
      <c r="H138" s="16" t="s">
        <v>4481</v>
      </c>
      <c r="I138" s="17" t="s">
        <v>4482</v>
      </c>
      <c r="J138" s="18" t="s">
        <v>4483</v>
      </c>
    </row>
    <row r="139" spans="1:10">
      <c r="A139" s="2">
        <v>136</v>
      </c>
      <c r="B139" s="3" t="s">
        <v>4484</v>
      </c>
      <c r="C139" s="4" t="s">
        <v>62</v>
      </c>
      <c r="D139" s="5" t="s">
        <v>4485</v>
      </c>
      <c r="E139" s="6" t="s">
        <v>12</v>
      </c>
      <c r="F139" s="4" t="s">
        <v>4095</v>
      </c>
      <c r="G139" s="7" t="s">
        <v>3963</v>
      </c>
      <c r="H139" s="8" t="s">
        <v>4486</v>
      </c>
      <c r="I139" s="9" t="s">
        <v>4487</v>
      </c>
      <c r="J139" s="21" t="s">
        <v>4488</v>
      </c>
    </row>
    <row r="140" spans="1:10">
      <c r="A140" s="2">
        <v>137</v>
      </c>
      <c r="B140" s="11" t="s">
        <v>4489</v>
      </c>
      <c r="C140" s="12" t="s">
        <v>96</v>
      </c>
      <c r="D140" s="13" t="s">
        <v>4490</v>
      </c>
      <c r="E140" s="14" t="s">
        <v>9</v>
      </c>
      <c r="F140" s="12" t="s">
        <v>4277</v>
      </c>
      <c r="G140" s="15" t="s">
        <v>3985</v>
      </c>
      <c r="H140" s="16" t="s">
        <v>4491</v>
      </c>
      <c r="I140" s="17" t="s">
        <v>4492</v>
      </c>
      <c r="J140" s="18" t="s">
        <v>4493</v>
      </c>
    </row>
    <row r="141" spans="1:10">
      <c r="A141" s="2">
        <v>138</v>
      </c>
      <c r="B141" s="11" t="s">
        <v>4494</v>
      </c>
      <c r="C141" s="12" t="s">
        <v>218</v>
      </c>
      <c r="D141" s="13" t="s">
        <v>4495</v>
      </c>
      <c r="E141" s="14" t="s">
        <v>12</v>
      </c>
      <c r="F141" s="12"/>
      <c r="G141" s="15"/>
      <c r="H141" s="16" t="s">
        <v>4496</v>
      </c>
      <c r="I141" s="17" t="s">
        <v>4497</v>
      </c>
      <c r="J141" s="18"/>
    </row>
    <row r="142" spans="1:10">
      <c r="A142" s="2">
        <v>139</v>
      </c>
      <c r="B142" s="11" t="s">
        <v>4498</v>
      </c>
      <c r="C142" s="12" t="s">
        <v>132</v>
      </c>
      <c r="D142" s="13" t="s">
        <v>4499</v>
      </c>
      <c r="E142" s="14" t="s">
        <v>9</v>
      </c>
      <c r="F142" s="12" t="s">
        <v>4154</v>
      </c>
      <c r="G142" s="15" t="s">
        <v>3985</v>
      </c>
      <c r="H142" s="17"/>
      <c r="I142" s="17"/>
      <c r="J142" s="18"/>
    </row>
    <row r="143" spans="1:10">
      <c r="A143" s="2">
        <v>140</v>
      </c>
      <c r="B143" s="3" t="s">
        <v>4500</v>
      </c>
      <c r="C143" s="4" t="s">
        <v>57</v>
      </c>
      <c r="D143" s="5" t="s">
        <v>4501</v>
      </c>
      <c r="E143" s="6" t="s">
        <v>12</v>
      </c>
      <c r="F143" s="4" t="s">
        <v>4277</v>
      </c>
      <c r="G143" s="7" t="s">
        <v>3957</v>
      </c>
      <c r="H143" s="9"/>
      <c r="I143" s="9"/>
      <c r="J143" s="21"/>
    </row>
    <row r="144" spans="1:10">
      <c r="A144" s="2">
        <v>141</v>
      </c>
      <c r="B144" s="3" t="s">
        <v>4502</v>
      </c>
      <c r="C144" s="4" t="s">
        <v>1962</v>
      </c>
      <c r="D144" s="5" t="s">
        <v>4503</v>
      </c>
      <c r="E144" s="6" t="s">
        <v>9</v>
      </c>
      <c r="F144" s="4" t="s">
        <v>3979</v>
      </c>
      <c r="G144" s="7" t="s">
        <v>3998</v>
      </c>
      <c r="H144" s="8" t="s">
        <v>4504</v>
      </c>
      <c r="I144" s="9" t="s">
        <v>4505</v>
      </c>
      <c r="J144" s="21" t="s">
        <v>4506</v>
      </c>
    </row>
    <row r="145" spans="1:10">
      <c r="A145" s="2">
        <v>142</v>
      </c>
      <c r="B145" s="11" t="s">
        <v>4507</v>
      </c>
      <c r="C145" s="12" t="s">
        <v>2768</v>
      </c>
      <c r="D145" s="13" t="s">
        <v>4508</v>
      </c>
      <c r="E145" s="14" t="s">
        <v>12</v>
      </c>
      <c r="F145" s="12" t="s">
        <v>4016</v>
      </c>
      <c r="G145" s="15" t="s">
        <v>4161</v>
      </c>
      <c r="H145" s="17"/>
      <c r="I145" s="17"/>
      <c r="J145" s="18"/>
    </row>
    <row r="146" spans="1:10">
      <c r="A146" s="2">
        <v>143</v>
      </c>
      <c r="B146" s="3" t="s">
        <v>4509</v>
      </c>
      <c r="C146" s="4" t="s">
        <v>75</v>
      </c>
      <c r="D146" s="13" t="s">
        <v>4510</v>
      </c>
      <c r="E146" s="6" t="s">
        <v>12</v>
      </c>
      <c r="F146" s="12" t="s">
        <v>4185</v>
      </c>
      <c r="G146" s="15" t="s">
        <v>4120</v>
      </c>
      <c r="H146" s="16" t="s">
        <v>4511</v>
      </c>
      <c r="I146" s="9" t="s">
        <v>4512</v>
      </c>
      <c r="J146" s="21" t="s">
        <v>4513</v>
      </c>
    </row>
    <row r="147" spans="1:10">
      <c r="A147" s="2">
        <v>144</v>
      </c>
      <c r="B147" s="11" t="s">
        <v>4514</v>
      </c>
      <c r="C147" s="12" t="s">
        <v>162</v>
      </c>
      <c r="D147" s="13" t="s">
        <v>4515</v>
      </c>
      <c r="E147" s="14"/>
      <c r="F147" s="12"/>
      <c r="G147" s="15"/>
      <c r="H147" s="16" t="s">
        <v>4516</v>
      </c>
      <c r="I147" s="17" t="s">
        <v>4517</v>
      </c>
      <c r="J147" s="18"/>
    </row>
    <row r="148" spans="1:10">
      <c r="A148" s="2">
        <v>145</v>
      </c>
      <c r="B148" s="3" t="s">
        <v>4518</v>
      </c>
      <c r="C148" s="4" t="s">
        <v>33</v>
      </c>
      <c r="D148" s="13" t="s">
        <v>4519</v>
      </c>
      <c r="E148" s="6" t="s">
        <v>9</v>
      </c>
      <c r="F148" s="12" t="s">
        <v>3935</v>
      </c>
      <c r="G148" s="15" t="s">
        <v>3998</v>
      </c>
      <c r="H148" s="16" t="s">
        <v>4520</v>
      </c>
      <c r="I148" s="9" t="s">
        <v>4521</v>
      </c>
      <c r="J148" s="21"/>
    </row>
    <row r="149" spans="1:10">
      <c r="A149" s="2">
        <v>146</v>
      </c>
      <c r="B149" s="3" t="s">
        <v>4522</v>
      </c>
      <c r="C149" s="4" t="s">
        <v>113</v>
      </c>
      <c r="D149" s="5" t="s">
        <v>4523</v>
      </c>
      <c r="E149" s="6" t="s">
        <v>12</v>
      </c>
      <c r="F149" s="4" t="s">
        <v>3950</v>
      </c>
      <c r="G149" s="7" t="s">
        <v>4059</v>
      </c>
      <c r="H149" s="8" t="s">
        <v>4524</v>
      </c>
      <c r="I149" s="9" t="s">
        <v>4525</v>
      </c>
      <c r="J149" s="21"/>
    </row>
    <row r="150" spans="1:10">
      <c r="A150" s="2">
        <v>147</v>
      </c>
      <c r="B150" s="3" t="s">
        <v>4526</v>
      </c>
      <c r="C150" s="4" t="s">
        <v>49</v>
      </c>
      <c r="D150" s="5" t="s">
        <v>4527</v>
      </c>
      <c r="E150" s="6" t="s">
        <v>9</v>
      </c>
      <c r="F150" s="4"/>
      <c r="G150" s="7"/>
      <c r="H150" s="8"/>
      <c r="I150" s="9"/>
      <c r="J150" s="21"/>
    </row>
    <row r="151" spans="1:10">
      <c r="A151" s="2">
        <v>148</v>
      </c>
      <c r="B151" s="11" t="s">
        <v>4528</v>
      </c>
      <c r="C151" s="12" t="s">
        <v>218</v>
      </c>
      <c r="D151" s="13" t="s">
        <v>4529</v>
      </c>
      <c r="E151" s="14" t="s">
        <v>9</v>
      </c>
      <c r="F151" s="12" t="s">
        <v>4181</v>
      </c>
      <c r="G151" s="15" t="s">
        <v>3917</v>
      </c>
      <c r="H151" s="16" t="s">
        <v>4530</v>
      </c>
      <c r="I151" s="17" t="s">
        <v>4531</v>
      </c>
      <c r="J151" s="18" t="s">
        <v>4532</v>
      </c>
    </row>
    <row r="152" spans="1:10">
      <c r="A152" s="2">
        <v>149</v>
      </c>
      <c r="B152" s="11" t="s">
        <v>4533</v>
      </c>
      <c r="C152" s="12" t="s">
        <v>113</v>
      </c>
      <c r="D152" s="13" t="s">
        <v>4534</v>
      </c>
      <c r="E152" s="14" t="s">
        <v>12</v>
      </c>
      <c r="F152" s="12" t="s">
        <v>4008</v>
      </c>
      <c r="G152" s="15" t="s">
        <v>3985</v>
      </c>
      <c r="H152" s="16" t="s">
        <v>4535</v>
      </c>
      <c r="I152" s="17" t="s">
        <v>4536</v>
      </c>
      <c r="J152" s="18" t="s">
        <v>4537</v>
      </c>
    </row>
    <row r="153" spans="1:10">
      <c r="A153" s="2">
        <v>150</v>
      </c>
      <c r="B153" s="11" t="s">
        <v>4538</v>
      </c>
      <c r="C153" s="12" t="s">
        <v>21</v>
      </c>
      <c r="D153" s="13" t="s">
        <v>4539</v>
      </c>
      <c r="E153" s="14" t="s">
        <v>12</v>
      </c>
      <c r="F153" s="12" t="s">
        <v>3923</v>
      </c>
      <c r="G153" s="15" t="s">
        <v>4032</v>
      </c>
      <c r="H153" s="17"/>
      <c r="I153" s="17"/>
      <c r="J153" s="18"/>
    </row>
    <row r="154" spans="1:10">
      <c r="A154" s="2">
        <v>151</v>
      </c>
      <c r="B154" s="11" t="s">
        <v>4540</v>
      </c>
      <c r="C154" s="12" t="s">
        <v>2768</v>
      </c>
      <c r="D154" s="13" t="s">
        <v>4541</v>
      </c>
      <c r="E154" s="14" t="s">
        <v>12</v>
      </c>
      <c r="F154" s="12" t="s">
        <v>4154</v>
      </c>
      <c r="G154" s="15" t="s">
        <v>3998</v>
      </c>
      <c r="H154" s="16" t="s">
        <v>4542</v>
      </c>
      <c r="I154" s="17" t="s">
        <v>4543</v>
      </c>
      <c r="J154" s="18" t="s">
        <v>4544</v>
      </c>
    </row>
    <row r="155" spans="1:10">
      <c r="A155" s="2">
        <v>152</v>
      </c>
      <c r="B155" s="3" t="s">
        <v>4545</v>
      </c>
      <c r="C155" s="4" t="s">
        <v>3931</v>
      </c>
      <c r="D155" s="19" t="s">
        <v>4546</v>
      </c>
      <c r="E155" s="20" t="s">
        <v>9</v>
      </c>
      <c r="F155" s="12"/>
      <c r="G155" s="15"/>
      <c r="H155" s="17"/>
      <c r="I155" s="9"/>
      <c r="J155" s="9"/>
    </row>
    <row r="156" spans="1:10">
      <c r="A156" s="2">
        <v>153</v>
      </c>
      <c r="B156" s="3" t="s">
        <v>4547</v>
      </c>
      <c r="C156" s="4" t="s">
        <v>62</v>
      </c>
      <c r="D156" s="5" t="s">
        <v>4548</v>
      </c>
      <c r="E156" s="6" t="s">
        <v>12</v>
      </c>
      <c r="F156" s="4" t="s">
        <v>4025</v>
      </c>
      <c r="G156" s="7" t="s">
        <v>3998</v>
      </c>
      <c r="H156" s="8" t="s">
        <v>4549</v>
      </c>
      <c r="I156" s="9" t="s">
        <v>4550</v>
      </c>
      <c r="J156" s="21"/>
    </row>
    <row r="157" spans="1:10">
      <c r="A157" s="2">
        <v>154</v>
      </c>
      <c r="B157" s="3" t="s">
        <v>4551</v>
      </c>
      <c r="C157" s="4" t="s">
        <v>75</v>
      </c>
      <c r="D157" s="5" t="s">
        <v>4552</v>
      </c>
      <c r="E157" s="6" t="s">
        <v>12</v>
      </c>
      <c r="F157" s="4" t="s">
        <v>3935</v>
      </c>
      <c r="G157" s="7" t="s">
        <v>3902</v>
      </c>
      <c r="H157" s="9"/>
      <c r="I157" s="9"/>
      <c r="J157" s="21"/>
    </row>
    <row r="158" spans="1:10">
      <c r="A158" s="2">
        <v>155</v>
      </c>
      <c r="B158" s="3" t="s">
        <v>4553</v>
      </c>
      <c r="C158" s="4" t="s">
        <v>29</v>
      </c>
      <c r="D158" s="5" t="s">
        <v>4554</v>
      </c>
      <c r="E158" s="6" t="s">
        <v>9</v>
      </c>
      <c r="F158" s="4" t="s">
        <v>3944</v>
      </c>
      <c r="G158" s="7" t="s">
        <v>4290</v>
      </c>
      <c r="H158" s="8" t="s">
        <v>4555</v>
      </c>
      <c r="I158" s="9" t="s">
        <v>4135</v>
      </c>
      <c r="J158" s="21" t="s">
        <v>4556</v>
      </c>
    </row>
    <row r="159" spans="1:10">
      <c r="A159" s="2">
        <v>156</v>
      </c>
      <c r="B159" s="3" t="s">
        <v>4557</v>
      </c>
      <c r="C159" s="4" t="s">
        <v>2145</v>
      </c>
      <c r="D159" s="5" t="s">
        <v>4558</v>
      </c>
      <c r="E159" s="6" t="s">
        <v>12</v>
      </c>
      <c r="F159" s="4" t="s">
        <v>4178</v>
      </c>
      <c r="G159" s="7" t="s">
        <v>4022</v>
      </c>
      <c r="H159" s="8" t="s">
        <v>4559</v>
      </c>
      <c r="I159" s="9" t="s">
        <v>4560</v>
      </c>
      <c r="J159" s="21"/>
    </row>
    <row r="160" spans="1:10">
      <c r="A160" s="2">
        <v>157</v>
      </c>
      <c r="B160" s="3" t="s">
        <v>4561</v>
      </c>
      <c r="C160" s="4" t="s">
        <v>31</v>
      </c>
      <c r="D160" s="5" t="s">
        <v>4143</v>
      </c>
      <c r="E160" s="6" t="s">
        <v>12</v>
      </c>
      <c r="F160" s="4"/>
      <c r="G160" s="7"/>
      <c r="H160" s="8" t="s">
        <v>4562</v>
      </c>
      <c r="I160" s="9" t="s">
        <v>4563</v>
      </c>
      <c r="J160" s="21"/>
    </row>
    <row r="161" spans="1:10">
      <c r="A161" s="2">
        <v>158</v>
      </c>
      <c r="B161" s="11" t="s">
        <v>4564</v>
      </c>
      <c r="C161" s="12" t="s">
        <v>33</v>
      </c>
      <c r="D161" s="13" t="s">
        <v>4565</v>
      </c>
      <c r="E161" s="14" t="s">
        <v>9</v>
      </c>
      <c r="F161" s="12" t="s">
        <v>4025</v>
      </c>
      <c r="G161" s="15" t="s">
        <v>4059</v>
      </c>
      <c r="H161" s="16" t="s">
        <v>4566</v>
      </c>
      <c r="I161" s="17" t="s">
        <v>4567</v>
      </c>
      <c r="J161" s="18" t="s">
        <v>4568</v>
      </c>
    </row>
    <row r="162" spans="1:10">
      <c r="A162" s="2">
        <v>159</v>
      </c>
      <c r="B162" s="11" t="s">
        <v>4569</v>
      </c>
      <c r="C162" s="12" t="s">
        <v>144</v>
      </c>
      <c r="D162" s="13" t="s">
        <v>4570</v>
      </c>
      <c r="E162" s="14" t="s">
        <v>12</v>
      </c>
      <c r="F162" s="12" t="s">
        <v>3979</v>
      </c>
      <c r="G162" s="15" t="s">
        <v>4120</v>
      </c>
      <c r="H162" s="16" t="s">
        <v>4571</v>
      </c>
      <c r="I162" s="17" t="s">
        <v>4572</v>
      </c>
      <c r="J162" s="18" t="s">
        <v>4573</v>
      </c>
    </row>
    <row r="163" spans="1:10">
      <c r="A163" s="2">
        <v>160</v>
      </c>
      <c r="B163" s="3" t="s">
        <v>4574</v>
      </c>
      <c r="C163" s="4" t="s">
        <v>19</v>
      </c>
      <c r="D163" s="5" t="s">
        <v>4575</v>
      </c>
      <c r="E163" s="6" t="s">
        <v>9</v>
      </c>
      <c r="F163" s="4" t="s">
        <v>4181</v>
      </c>
      <c r="G163" s="7" t="s">
        <v>3945</v>
      </c>
      <c r="H163" s="8" t="s">
        <v>4576</v>
      </c>
      <c r="I163" s="9" t="s">
        <v>4577</v>
      </c>
      <c r="J163" s="21" t="s">
        <v>4578</v>
      </c>
    </row>
    <row r="164" spans="1:10">
      <c r="A164" s="2">
        <v>161</v>
      </c>
      <c r="B164" s="3" t="s">
        <v>4579</v>
      </c>
      <c r="C164" s="4" t="s">
        <v>33</v>
      </c>
      <c r="D164" s="5" t="s">
        <v>4580</v>
      </c>
      <c r="E164" s="6" t="s">
        <v>12</v>
      </c>
      <c r="F164" s="4"/>
      <c r="G164" s="7"/>
      <c r="H164" s="8" t="s">
        <v>4581</v>
      </c>
      <c r="I164" s="9" t="s">
        <v>4582</v>
      </c>
      <c r="J164" s="21"/>
    </row>
    <row r="165" spans="1:10">
      <c r="A165" s="2">
        <v>162</v>
      </c>
      <c r="B165" s="3" t="s">
        <v>4583</v>
      </c>
      <c r="C165" s="4" t="s">
        <v>144</v>
      </c>
      <c r="D165" s="5" t="s">
        <v>4584</v>
      </c>
      <c r="E165" s="6" t="s">
        <v>12</v>
      </c>
      <c r="F165" s="4" t="s">
        <v>4083</v>
      </c>
      <c r="G165" s="7" t="s">
        <v>4141</v>
      </c>
      <c r="H165" s="8"/>
      <c r="I165" s="9" t="s">
        <v>4585</v>
      </c>
      <c r="J165" s="21"/>
    </row>
    <row r="166" spans="1:10">
      <c r="A166" s="2">
        <v>163</v>
      </c>
      <c r="B166" s="11" t="s">
        <v>4586</v>
      </c>
      <c r="C166" s="12" t="s">
        <v>4587</v>
      </c>
      <c r="D166" s="13" t="s">
        <v>4588</v>
      </c>
      <c r="E166" s="14" t="s">
        <v>12</v>
      </c>
      <c r="F166" s="12" t="s">
        <v>4274</v>
      </c>
      <c r="G166" s="15" t="s">
        <v>4161</v>
      </c>
      <c r="H166" s="16" t="s">
        <v>4589</v>
      </c>
      <c r="I166" s="9" t="s">
        <v>4521</v>
      </c>
      <c r="J166" s="21" t="s">
        <v>4590</v>
      </c>
    </row>
    <row r="167" spans="1:10">
      <c r="A167" s="2">
        <v>164</v>
      </c>
      <c r="B167" s="11" t="s">
        <v>4591</v>
      </c>
      <c r="C167" s="12" t="s">
        <v>45</v>
      </c>
      <c r="D167" s="13" t="s">
        <v>4592</v>
      </c>
      <c r="E167" s="14" t="s">
        <v>12</v>
      </c>
      <c r="F167" s="12" t="s">
        <v>3911</v>
      </c>
      <c r="G167" s="15" t="s">
        <v>3924</v>
      </c>
      <c r="H167" s="16" t="s">
        <v>4593</v>
      </c>
      <c r="I167" s="9" t="s">
        <v>4594</v>
      </c>
      <c r="J167" s="21"/>
    </row>
    <row r="168" spans="1:10">
      <c r="A168" s="2">
        <v>165</v>
      </c>
      <c r="B168" s="3" t="s">
        <v>4595</v>
      </c>
      <c r="C168" s="4" t="s">
        <v>53</v>
      </c>
      <c r="D168" s="5" t="s">
        <v>4596</v>
      </c>
      <c r="E168" s="6" t="s">
        <v>12</v>
      </c>
      <c r="F168" s="4" t="s">
        <v>4065</v>
      </c>
      <c r="G168" s="22" t="s">
        <v>4161</v>
      </c>
      <c r="H168" s="23" t="s">
        <v>4597</v>
      </c>
      <c r="I168" s="24" t="s">
        <v>4196</v>
      </c>
      <c r="J168" s="21" t="s">
        <v>4598</v>
      </c>
    </row>
    <row r="169" spans="1:10">
      <c r="A169" s="2">
        <v>166</v>
      </c>
      <c r="B169" s="3" t="s">
        <v>4599</v>
      </c>
      <c r="C169" s="4" t="s">
        <v>21</v>
      </c>
      <c r="D169" s="5" t="s">
        <v>4600</v>
      </c>
      <c r="E169" s="6" t="s">
        <v>9</v>
      </c>
      <c r="F169" s="4" t="s">
        <v>4065</v>
      </c>
      <c r="G169" s="22" t="s">
        <v>4110</v>
      </c>
      <c r="H169" s="23" t="s">
        <v>4601</v>
      </c>
      <c r="I169" s="24" t="s">
        <v>4602</v>
      </c>
      <c r="J169" s="21" t="s">
        <v>4603</v>
      </c>
    </row>
    <row r="170" spans="1:10">
      <c r="A170" s="2">
        <v>167</v>
      </c>
      <c r="B170" s="11" t="s">
        <v>4604</v>
      </c>
      <c r="C170" s="12" t="s">
        <v>75</v>
      </c>
      <c r="D170" s="13" t="s">
        <v>4605</v>
      </c>
      <c r="E170" s="14" t="s">
        <v>9</v>
      </c>
      <c r="F170" s="12" t="s">
        <v>3969</v>
      </c>
      <c r="G170" s="15" t="s">
        <v>3985</v>
      </c>
      <c r="H170" s="16" t="s">
        <v>4606</v>
      </c>
      <c r="I170" s="17" t="s">
        <v>4607</v>
      </c>
      <c r="J170" s="18"/>
    </row>
    <row r="171" spans="1:10">
      <c r="A171" s="2">
        <v>168</v>
      </c>
      <c r="B171" s="3" t="s">
        <v>4608</v>
      </c>
      <c r="C171" s="4" t="s">
        <v>43</v>
      </c>
      <c r="D171" s="5" t="s">
        <v>4609</v>
      </c>
      <c r="E171" s="6" t="s">
        <v>12</v>
      </c>
      <c r="F171" s="4" t="s">
        <v>3969</v>
      </c>
      <c r="G171" s="7" t="s">
        <v>4155</v>
      </c>
      <c r="H171" s="8" t="s">
        <v>4610</v>
      </c>
      <c r="I171" s="9" t="s">
        <v>4611</v>
      </c>
      <c r="J171" s="21" t="s">
        <v>4612</v>
      </c>
    </row>
    <row r="172" spans="1:10">
      <c r="A172" s="2">
        <v>169</v>
      </c>
      <c r="B172" s="3" t="s">
        <v>4613</v>
      </c>
      <c r="C172" s="4" t="s">
        <v>3940</v>
      </c>
      <c r="D172" s="19" t="s">
        <v>4614</v>
      </c>
      <c r="E172" s="20" t="s">
        <v>9</v>
      </c>
      <c r="F172" s="12"/>
      <c r="G172" s="15"/>
      <c r="H172" s="17"/>
      <c r="I172" s="9"/>
      <c r="J172" s="9"/>
    </row>
    <row r="173" spans="1:10">
      <c r="A173" s="2">
        <v>170</v>
      </c>
      <c r="B173" s="3" t="s">
        <v>4615</v>
      </c>
      <c r="C173" s="4" t="s">
        <v>64</v>
      </c>
      <c r="D173" s="5" t="s">
        <v>4616</v>
      </c>
      <c r="E173" s="6" t="s">
        <v>12</v>
      </c>
      <c r="F173" s="4"/>
      <c r="G173" s="7"/>
      <c r="H173" s="8" t="s">
        <v>4617</v>
      </c>
      <c r="I173" s="9" t="s">
        <v>4618</v>
      </c>
      <c r="J173" s="21"/>
    </row>
    <row r="174" spans="1:10">
      <c r="A174" s="2">
        <v>171</v>
      </c>
      <c r="B174" s="11" t="s">
        <v>4619</v>
      </c>
      <c r="C174" s="12" t="s">
        <v>71</v>
      </c>
      <c r="D174" s="13" t="s">
        <v>4620</v>
      </c>
      <c r="E174" s="14" t="s">
        <v>12</v>
      </c>
      <c r="F174" s="12" t="s">
        <v>4048</v>
      </c>
      <c r="G174" s="15" t="s">
        <v>4022</v>
      </c>
      <c r="H174" s="16" t="s">
        <v>4621</v>
      </c>
      <c r="I174" s="17" t="s">
        <v>4622</v>
      </c>
      <c r="J174" s="18"/>
    </row>
    <row r="175" spans="1:10">
      <c r="A175" s="2">
        <v>172</v>
      </c>
      <c r="B175" s="3" t="s">
        <v>4623</v>
      </c>
      <c r="C175" s="4" t="s">
        <v>218</v>
      </c>
      <c r="D175" s="5" t="s">
        <v>4624</v>
      </c>
      <c r="E175" s="6"/>
      <c r="F175" s="4"/>
      <c r="G175" s="7"/>
      <c r="H175" s="8" t="s">
        <v>4625</v>
      </c>
      <c r="I175" s="9"/>
      <c r="J175" s="21"/>
    </row>
    <row r="176" spans="1:10">
      <c r="A176" s="2">
        <v>173</v>
      </c>
      <c r="B176" s="3" t="s">
        <v>4626</v>
      </c>
      <c r="C176" s="4" t="s">
        <v>19</v>
      </c>
      <c r="D176" s="5" t="s">
        <v>4627</v>
      </c>
      <c r="E176" s="6" t="s">
        <v>12</v>
      </c>
      <c r="F176" s="4" t="s">
        <v>4048</v>
      </c>
      <c r="G176" s="7" t="s">
        <v>3924</v>
      </c>
      <c r="H176" s="8" t="s">
        <v>4628</v>
      </c>
      <c r="I176" s="9" t="s">
        <v>4380</v>
      </c>
      <c r="J176" s="21" t="s">
        <v>4629</v>
      </c>
    </row>
    <row r="177" spans="1:10">
      <c r="A177" s="2">
        <v>174</v>
      </c>
      <c r="B177" s="3" t="s">
        <v>4630</v>
      </c>
      <c r="C177" s="4" t="s">
        <v>207</v>
      </c>
      <c r="D177" s="5" t="s">
        <v>4631</v>
      </c>
      <c r="E177" s="6" t="s">
        <v>12</v>
      </c>
      <c r="F177" s="4" t="s">
        <v>4083</v>
      </c>
      <c r="G177" s="7" t="s">
        <v>4290</v>
      </c>
      <c r="H177" s="8" t="s">
        <v>4632</v>
      </c>
      <c r="I177" s="9"/>
      <c r="J177" s="21" t="s">
        <v>4633</v>
      </c>
    </row>
    <row r="178" spans="1:10">
      <c r="A178" s="2">
        <v>175</v>
      </c>
      <c r="B178" s="11" t="s">
        <v>4634</v>
      </c>
      <c r="C178" s="12" t="s">
        <v>23</v>
      </c>
      <c r="D178" s="13" t="s">
        <v>4635</v>
      </c>
      <c r="E178" s="14" t="s">
        <v>12</v>
      </c>
      <c r="F178" s="12"/>
      <c r="G178" s="15"/>
      <c r="H178" s="16" t="s">
        <v>4636</v>
      </c>
      <c r="I178" s="17" t="s">
        <v>4637</v>
      </c>
      <c r="J178" s="18"/>
    </row>
    <row r="179" spans="1:10">
      <c r="A179" s="2">
        <v>176</v>
      </c>
      <c r="B179" s="11" t="s">
        <v>4638</v>
      </c>
      <c r="C179" s="12" t="s">
        <v>53</v>
      </c>
      <c r="D179" s="13" t="s">
        <v>4639</v>
      </c>
      <c r="E179" s="14" t="s">
        <v>9</v>
      </c>
      <c r="F179" s="12" t="s">
        <v>3979</v>
      </c>
      <c r="G179" s="15" t="s">
        <v>4032</v>
      </c>
      <c r="H179" s="16" t="s">
        <v>4640</v>
      </c>
      <c r="I179" s="17" t="s">
        <v>4641</v>
      </c>
      <c r="J179" s="18" t="s">
        <v>4642</v>
      </c>
    </row>
    <row r="180" spans="1:10">
      <c r="A180" s="2">
        <v>177</v>
      </c>
      <c r="B180" s="3" t="s">
        <v>4643</v>
      </c>
      <c r="C180" s="4" t="s">
        <v>10</v>
      </c>
      <c r="D180" s="5" t="s">
        <v>4644</v>
      </c>
      <c r="E180" s="6" t="s">
        <v>9</v>
      </c>
      <c r="F180" s="4" t="s">
        <v>4376</v>
      </c>
      <c r="G180" s="7" t="s">
        <v>3998</v>
      </c>
      <c r="H180" s="9"/>
      <c r="I180" s="9"/>
      <c r="J180" s="21"/>
    </row>
    <row r="181" spans="1:10">
      <c r="A181" s="2">
        <v>178</v>
      </c>
      <c r="B181" s="3" t="s">
        <v>4645</v>
      </c>
      <c r="C181" s="4" t="s">
        <v>62</v>
      </c>
      <c r="D181" s="5" t="s">
        <v>4646</v>
      </c>
      <c r="E181" s="6" t="s">
        <v>12</v>
      </c>
      <c r="F181" s="4" t="s">
        <v>4016</v>
      </c>
      <c r="G181" s="7" t="s">
        <v>4155</v>
      </c>
      <c r="H181" s="8" t="s">
        <v>4647</v>
      </c>
      <c r="I181" s="9" t="s">
        <v>4648</v>
      </c>
      <c r="J181" s="21"/>
    </row>
    <row r="182" spans="1:10">
      <c r="A182" s="2">
        <v>179</v>
      </c>
      <c r="B182" s="3" t="s">
        <v>4649</v>
      </c>
      <c r="C182" s="4" t="s">
        <v>3940</v>
      </c>
      <c r="D182" s="19" t="s">
        <v>4650</v>
      </c>
      <c r="E182" s="20" t="s">
        <v>12</v>
      </c>
      <c r="F182" s="12"/>
      <c r="G182" s="15"/>
      <c r="H182" s="17"/>
      <c r="I182" s="9"/>
      <c r="J182" s="9"/>
    </row>
    <row r="183" spans="1:10">
      <c r="A183" s="2">
        <v>180</v>
      </c>
      <c r="B183" s="3" t="s">
        <v>4651</v>
      </c>
      <c r="C183" s="4" t="s">
        <v>10</v>
      </c>
      <c r="D183" s="5"/>
      <c r="E183" s="6" t="s">
        <v>12</v>
      </c>
      <c r="F183" s="4" t="s">
        <v>4109</v>
      </c>
      <c r="G183" s="7" t="s">
        <v>4290</v>
      </c>
      <c r="H183" s="8" t="s">
        <v>4652</v>
      </c>
      <c r="I183" s="9" t="s">
        <v>4653</v>
      </c>
      <c r="J183" s="21" t="s">
        <v>4654</v>
      </c>
    </row>
    <row r="184" spans="1:10">
      <c r="A184" s="2">
        <v>181</v>
      </c>
      <c r="B184" s="11" t="s">
        <v>4655</v>
      </c>
      <c r="C184" s="12" t="s">
        <v>23</v>
      </c>
      <c r="D184" s="13" t="s">
        <v>4656</v>
      </c>
      <c r="E184" s="14" t="s">
        <v>12</v>
      </c>
      <c r="F184" s="12" t="s">
        <v>4089</v>
      </c>
      <c r="G184" s="15" t="s">
        <v>3924</v>
      </c>
      <c r="H184" s="16" t="s">
        <v>4657</v>
      </c>
      <c r="I184" s="17" t="s">
        <v>4658</v>
      </c>
      <c r="J184" s="18" t="s">
        <v>4659</v>
      </c>
    </row>
    <row r="185" spans="1:10">
      <c r="A185" s="2">
        <v>182</v>
      </c>
      <c r="B185" s="11" t="s">
        <v>4660</v>
      </c>
      <c r="C185" s="12" t="s">
        <v>16</v>
      </c>
      <c r="D185" s="13" t="s">
        <v>4661</v>
      </c>
      <c r="E185" s="14" t="s">
        <v>9</v>
      </c>
      <c r="F185" s="12" t="s">
        <v>3950</v>
      </c>
      <c r="G185" s="15" t="s">
        <v>3980</v>
      </c>
      <c r="H185" s="16" t="s">
        <v>4662</v>
      </c>
      <c r="I185" s="17" t="s">
        <v>4663</v>
      </c>
      <c r="J185" s="18"/>
    </row>
    <row r="186" spans="1:10">
      <c r="A186" s="2">
        <v>183</v>
      </c>
      <c r="B186" s="3" t="s">
        <v>4664</v>
      </c>
      <c r="C186" s="4" t="s">
        <v>3928</v>
      </c>
      <c r="D186" s="19" t="s">
        <v>4665</v>
      </c>
      <c r="E186" s="20" t="s">
        <v>9</v>
      </c>
      <c r="F186" s="12"/>
      <c r="G186" s="15"/>
      <c r="H186" s="17"/>
      <c r="I186" s="9"/>
      <c r="J186" s="9"/>
    </row>
    <row r="187" spans="1:10">
      <c r="A187" s="2">
        <v>184</v>
      </c>
      <c r="B187" s="3" t="s">
        <v>4666</v>
      </c>
      <c r="C187" s="4" t="s">
        <v>45</v>
      </c>
      <c r="D187" s="5" t="s">
        <v>4667</v>
      </c>
      <c r="E187" s="6" t="s">
        <v>12</v>
      </c>
      <c r="F187" s="4" t="s">
        <v>3997</v>
      </c>
      <c r="G187" s="7" t="s">
        <v>4110</v>
      </c>
      <c r="H187" s="8" t="s">
        <v>4668</v>
      </c>
      <c r="I187" s="9" t="s">
        <v>4669</v>
      </c>
      <c r="J187" s="21"/>
    </row>
    <row r="188" spans="1:10">
      <c r="A188" s="2">
        <v>185</v>
      </c>
      <c r="B188" s="11" t="s">
        <v>4670</v>
      </c>
      <c r="C188" s="12" t="s">
        <v>77</v>
      </c>
      <c r="D188" s="13" t="s">
        <v>4671</v>
      </c>
      <c r="E188" s="14" t="s">
        <v>12</v>
      </c>
      <c r="F188" s="12" t="s">
        <v>3994</v>
      </c>
      <c r="G188" s="15" t="s">
        <v>4059</v>
      </c>
      <c r="H188" s="17"/>
      <c r="I188" s="17"/>
      <c r="J188" s="18"/>
    </row>
    <row r="189" spans="1:10">
      <c r="A189" s="2">
        <v>186</v>
      </c>
      <c r="B189" s="11" t="s">
        <v>4672</v>
      </c>
      <c r="C189" s="12" t="s">
        <v>41</v>
      </c>
      <c r="D189" s="13" t="s">
        <v>4673</v>
      </c>
      <c r="E189" s="14" t="s">
        <v>12</v>
      </c>
      <c r="F189" s="12" t="s">
        <v>3950</v>
      </c>
      <c r="G189" s="15" t="s">
        <v>4059</v>
      </c>
      <c r="H189" s="16" t="s">
        <v>4674</v>
      </c>
      <c r="I189" s="17" t="s">
        <v>4675</v>
      </c>
      <c r="J189" s="18" t="s">
        <v>4676</v>
      </c>
    </row>
    <row r="190" spans="1:10">
      <c r="A190" s="2">
        <v>187</v>
      </c>
      <c r="B190" s="3" t="s">
        <v>4677</v>
      </c>
      <c r="C190" s="4" t="s">
        <v>75</v>
      </c>
      <c r="D190" s="5" t="s">
        <v>4678</v>
      </c>
      <c r="E190" s="6" t="s">
        <v>9</v>
      </c>
      <c r="F190" s="4" t="s">
        <v>4154</v>
      </c>
      <c r="G190" s="7" t="s">
        <v>4120</v>
      </c>
      <c r="H190" s="8" t="s">
        <v>4679</v>
      </c>
      <c r="I190" s="9" t="s">
        <v>4680</v>
      </c>
      <c r="J190" s="21"/>
    </row>
    <row r="191" spans="1:10">
      <c r="A191" s="2">
        <v>188</v>
      </c>
      <c r="B191" s="3" t="s">
        <v>4681</v>
      </c>
      <c r="C191" s="4"/>
      <c r="D191" s="19" t="s">
        <v>4682</v>
      </c>
      <c r="E191" s="20" t="s">
        <v>9</v>
      </c>
      <c r="F191" s="12"/>
      <c r="G191" s="15"/>
      <c r="H191" s="17"/>
      <c r="I191" s="9"/>
      <c r="J191" s="9"/>
    </row>
    <row r="192" spans="1:10">
      <c r="A192" s="2">
        <v>189</v>
      </c>
      <c r="B192" s="3" t="s">
        <v>4683</v>
      </c>
      <c r="C192" s="4" t="s">
        <v>23</v>
      </c>
      <c r="D192" s="5" t="s">
        <v>4684</v>
      </c>
      <c r="E192" s="6" t="s">
        <v>12</v>
      </c>
      <c r="F192" s="4"/>
      <c r="G192" s="7"/>
      <c r="H192" s="8" t="s">
        <v>4685</v>
      </c>
      <c r="I192" s="9" t="s">
        <v>4686</v>
      </c>
      <c r="J192" s="21"/>
    </row>
    <row r="193" spans="1:10">
      <c r="A193" s="2">
        <v>190</v>
      </c>
      <c r="B193" s="3" t="s">
        <v>4687</v>
      </c>
      <c r="C193" s="4" t="s">
        <v>45</v>
      </c>
      <c r="D193" s="5" t="s">
        <v>4688</v>
      </c>
      <c r="E193" s="6" t="s">
        <v>12</v>
      </c>
      <c r="F193" s="4" t="s">
        <v>4031</v>
      </c>
      <c r="G193" s="7" t="s">
        <v>4155</v>
      </c>
      <c r="H193" s="9"/>
      <c r="I193" s="9"/>
      <c r="J193" s="21"/>
    </row>
    <row r="194" spans="1:10">
      <c r="A194" s="2">
        <v>191</v>
      </c>
      <c r="B194" s="3" t="s">
        <v>4689</v>
      </c>
      <c r="C194" s="4" t="s">
        <v>16</v>
      </c>
      <c r="D194" s="5" t="s">
        <v>4690</v>
      </c>
      <c r="E194" s="6" t="s">
        <v>12</v>
      </c>
      <c r="F194" s="4"/>
      <c r="G194" s="7"/>
      <c r="H194" s="8" t="s">
        <v>4691</v>
      </c>
      <c r="I194" s="9" t="s">
        <v>4692</v>
      </c>
      <c r="J194" s="21"/>
    </row>
    <row r="195" spans="1:10">
      <c r="A195" s="2">
        <v>192</v>
      </c>
      <c r="B195" s="3" t="s">
        <v>4693</v>
      </c>
      <c r="C195" s="4" t="s">
        <v>23</v>
      </c>
      <c r="D195" s="5" t="s">
        <v>4694</v>
      </c>
      <c r="E195" s="6" t="s">
        <v>12</v>
      </c>
      <c r="F195" s="4" t="s">
        <v>4048</v>
      </c>
      <c r="G195" s="7" t="s">
        <v>3998</v>
      </c>
      <c r="H195" s="8" t="s">
        <v>4695</v>
      </c>
      <c r="I195" s="9" t="s">
        <v>4696</v>
      </c>
      <c r="J195" s="21"/>
    </row>
    <row r="196" spans="1:10">
      <c r="A196" s="2">
        <v>193</v>
      </c>
      <c r="B196" s="3" t="s">
        <v>4697</v>
      </c>
      <c r="C196" s="4" t="s">
        <v>19</v>
      </c>
      <c r="D196" s="5" t="s">
        <v>4698</v>
      </c>
      <c r="E196" s="6" t="s">
        <v>12</v>
      </c>
      <c r="F196" s="4" t="s">
        <v>3979</v>
      </c>
      <c r="G196" s="7" t="s">
        <v>4022</v>
      </c>
      <c r="H196" s="8" t="s">
        <v>4699</v>
      </c>
      <c r="I196" s="9" t="s">
        <v>4700</v>
      </c>
      <c r="J196" s="21"/>
    </row>
    <row r="197" spans="1:10">
      <c r="A197" s="2">
        <v>194</v>
      </c>
      <c r="B197" s="11" t="s">
        <v>4701</v>
      </c>
      <c r="C197" s="12" t="s">
        <v>207</v>
      </c>
      <c r="D197" s="13" t="s">
        <v>4702</v>
      </c>
      <c r="E197" s="14" t="s">
        <v>12</v>
      </c>
      <c r="F197" s="12" t="s">
        <v>4178</v>
      </c>
      <c r="G197" s="15" t="s">
        <v>4022</v>
      </c>
      <c r="H197" s="16" t="s">
        <v>4703</v>
      </c>
      <c r="I197" s="9" t="s">
        <v>4704</v>
      </c>
      <c r="J197" s="21"/>
    </row>
    <row r="198" spans="1:10">
      <c r="A198" s="2">
        <v>195</v>
      </c>
      <c r="B198" s="3" t="s">
        <v>4705</v>
      </c>
      <c r="C198" s="4" t="s">
        <v>33</v>
      </c>
      <c r="D198" s="5" t="s">
        <v>4706</v>
      </c>
      <c r="E198" s="6" t="s">
        <v>9</v>
      </c>
      <c r="F198" s="4" t="s">
        <v>3935</v>
      </c>
      <c r="G198" s="7" t="s">
        <v>3963</v>
      </c>
      <c r="H198" s="8" t="s">
        <v>4707</v>
      </c>
      <c r="I198" s="9">
        <v>7030679485</v>
      </c>
      <c r="J198" s="21"/>
    </row>
    <row r="199" spans="1:10">
      <c r="A199" s="2">
        <v>196</v>
      </c>
      <c r="B199" s="11" t="s">
        <v>4708</v>
      </c>
      <c r="C199" s="12" t="s">
        <v>16</v>
      </c>
      <c r="D199" s="13" t="s">
        <v>4709</v>
      </c>
      <c r="E199" s="14" t="s">
        <v>9</v>
      </c>
      <c r="F199" s="12" t="s">
        <v>4016</v>
      </c>
      <c r="G199" s="15" t="s">
        <v>3945</v>
      </c>
      <c r="H199" s="16" t="s">
        <v>4710</v>
      </c>
      <c r="I199" s="9" t="s">
        <v>4711</v>
      </c>
      <c r="J199" s="21" t="s">
        <v>4712</v>
      </c>
    </row>
    <row r="200" spans="1:10">
      <c r="A200" s="2">
        <v>197</v>
      </c>
      <c r="B200" s="3" t="s">
        <v>4713</v>
      </c>
      <c r="C200" s="4" t="s">
        <v>33</v>
      </c>
      <c r="D200" s="5" t="s">
        <v>4714</v>
      </c>
      <c r="E200" s="6" t="s">
        <v>9</v>
      </c>
      <c r="F200" s="4" t="s">
        <v>4178</v>
      </c>
      <c r="G200" s="7" t="s">
        <v>3917</v>
      </c>
      <c r="H200" s="8" t="s">
        <v>4715</v>
      </c>
      <c r="I200" s="9" t="s">
        <v>4716</v>
      </c>
      <c r="J200" s="21"/>
    </row>
    <row r="201" spans="1:10">
      <c r="A201" s="2">
        <v>198</v>
      </c>
      <c r="B201" s="11" t="s">
        <v>4717</v>
      </c>
      <c r="C201" s="12" t="s">
        <v>45</v>
      </c>
      <c r="D201" s="13" t="s">
        <v>4342</v>
      </c>
      <c r="E201" s="14" t="s">
        <v>12</v>
      </c>
      <c r="F201" s="12" t="s">
        <v>4089</v>
      </c>
      <c r="G201" s="15" t="s">
        <v>3998</v>
      </c>
      <c r="H201" s="16" t="s">
        <v>4718</v>
      </c>
      <c r="I201" s="17" t="s">
        <v>4719</v>
      </c>
      <c r="J201" s="18"/>
    </row>
    <row r="202" spans="1:10">
      <c r="A202" s="2">
        <v>199</v>
      </c>
      <c r="B202" s="3" t="s">
        <v>4720</v>
      </c>
      <c r="C202" s="4" t="s">
        <v>132</v>
      </c>
      <c r="D202" s="5" t="s">
        <v>4721</v>
      </c>
      <c r="E202" s="6" t="s">
        <v>9</v>
      </c>
      <c r="F202" s="4" t="s">
        <v>4038</v>
      </c>
      <c r="G202" s="7" t="s">
        <v>3998</v>
      </c>
      <c r="H202" s="8" t="s">
        <v>4722</v>
      </c>
      <c r="I202" s="9" t="s">
        <v>4723</v>
      </c>
      <c r="J202" s="21"/>
    </row>
    <row r="203" spans="1:10">
      <c r="A203" s="2">
        <v>200</v>
      </c>
      <c r="B203" s="3" t="s">
        <v>4724</v>
      </c>
      <c r="C203" s="4" t="s">
        <v>3940</v>
      </c>
      <c r="D203" s="19" t="s">
        <v>4725</v>
      </c>
      <c r="E203" s="20" t="s">
        <v>12</v>
      </c>
      <c r="F203" s="12"/>
      <c r="G203" s="15"/>
      <c r="H203" s="17"/>
      <c r="I203" s="9"/>
      <c r="J203" s="9"/>
    </row>
    <row r="204" spans="1:10">
      <c r="A204" s="2">
        <v>201</v>
      </c>
      <c r="B204" s="11" t="s">
        <v>4726</v>
      </c>
      <c r="C204" s="12" t="s">
        <v>132</v>
      </c>
      <c r="D204" s="13" t="s">
        <v>4727</v>
      </c>
      <c r="E204" s="14" t="s">
        <v>9</v>
      </c>
      <c r="F204" s="12" t="s">
        <v>4038</v>
      </c>
      <c r="G204" s="15" t="s">
        <v>3998</v>
      </c>
      <c r="H204" s="16" t="s">
        <v>4728</v>
      </c>
      <c r="I204" s="17" t="s">
        <v>4729</v>
      </c>
      <c r="J204" s="18" t="s">
        <v>4730</v>
      </c>
    </row>
    <row r="205" spans="1:10">
      <c r="A205" s="2">
        <v>202</v>
      </c>
      <c r="B205" s="3" t="s">
        <v>4731</v>
      </c>
      <c r="C205" s="4" t="s">
        <v>16</v>
      </c>
      <c r="D205" s="13" t="s">
        <v>4732</v>
      </c>
      <c r="E205" s="6" t="s">
        <v>12</v>
      </c>
      <c r="F205" s="12" t="s">
        <v>3916</v>
      </c>
      <c r="G205" s="15" t="s">
        <v>4237</v>
      </c>
      <c r="H205" s="16" t="s">
        <v>4733</v>
      </c>
      <c r="I205" s="9" t="s">
        <v>4734</v>
      </c>
      <c r="J205" s="21" t="s">
        <v>4735</v>
      </c>
    </row>
    <row r="206" spans="1:10">
      <c r="A206" s="2">
        <v>203</v>
      </c>
      <c r="B206" s="3" t="s">
        <v>4736</v>
      </c>
      <c r="C206" s="4" t="s">
        <v>162</v>
      </c>
      <c r="D206" s="13" t="s">
        <v>4737</v>
      </c>
      <c r="E206" s="6" t="s">
        <v>12</v>
      </c>
      <c r="F206" s="12" t="s">
        <v>4016</v>
      </c>
      <c r="G206" s="15" t="s">
        <v>4280</v>
      </c>
      <c r="H206" s="16" t="s">
        <v>4738</v>
      </c>
      <c r="I206" s="9"/>
      <c r="J206" s="21"/>
    </row>
    <row r="207" spans="1:10">
      <c r="A207" s="2">
        <v>204</v>
      </c>
      <c r="B207" s="3" t="s">
        <v>4739</v>
      </c>
      <c r="C207" s="4" t="s">
        <v>64</v>
      </c>
      <c r="D207" s="5" t="s">
        <v>4740</v>
      </c>
      <c r="E207" s="6" t="s">
        <v>9</v>
      </c>
      <c r="F207" s="4" t="s">
        <v>4031</v>
      </c>
      <c r="G207" s="7" t="s">
        <v>4049</v>
      </c>
      <c r="H207" s="8" t="s">
        <v>4741</v>
      </c>
      <c r="I207" s="9" t="s">
        <v>4742</v>
      </c>
      <c r="J207" s="21"/>
    </row>
    <row r="208" spans="1:10">
      <c r="A208" s="2">
        <v>205</v>
      </c>
      <c r="B208" s="11" t="s">
        <v>4743</v>
      </c>
      <c r="C208" s="12" t="s">
        <v>43</v>
      </c>
      <c r="D208" s="13" t="s">
        <v>4744</v>
      </c>
      <c r="E208" s="14" t="s">
        <v>9</v>
      </c>
      <c r="F208" s="12" t="s">
        <v>4363</v>
      </c>
      <c r="G208" s="15" t="s">
        <v>3980</v>
      </c>
      <c r="H208" s="16" t="s">
        <v>4745</v>
      </c>
      <c r="I208" s="17" t="s">
        <v>4746</v>
      </c>
      <c r="J208" s="18" t="s">
        <v>4747</v>
      </c>
    </row>
    <row r="209" spans="1:10">
      <c r="A209" s="2">
        <v>206</v>
      </c>
      <c r="B209" s="3" t="s">
        <v>4748</v>
      </c>
      <c r="C209" s="4" t="s">
        <v>45</v>
      </c>
      <c r="D209" s="5" t="s">
        <v>4749</v>
      </c>
      <c r="E209" s="6" t="s">
        <v>9</v>
      </c>
      <c r="F209" s="4" t="s">
        <v>3916</v>
      </c>
      <c r="G209" s="7" t="s">
        <v>3917</v>
      </c>
      <c r="H209" s="8" t="s">
        <v>4750</v>
      </c>
      <c r="I209" s="9" t="s">
        <v>4751</v>
      </c>
      <c r="J209" s="21" t="s">
        <v>4752</v>
      </c>
    </row>
    <row r="210" spans="1:10">
      <c r="A210" s="2">
        <v>207</v>
      </c>
      <c r="B210" s="11" t="s">
        <v>4753</v>
      </c>
      <c r="C210" s="12" t="s">
        <v>16</v>
      </c>
      <c r="D210" s="13" t="s">
        <v>4754</v>
      </c>
      <c r="E210" s="14" t="s">
        <v>9</v>
      </c>
      <c r="F210" s="12" t="s">
        <v>4083</v>
      </c>
      <c r="G210" s="15" t="s">
        <v>3924</v>
      </c>
      <c r="H210" s="16" t="s">
        <v>4755</v>
      </c>
      <c r="I210" s="17" t="s">
        <v>4756</v>
      </c>
      <c r="J210" s="18" t="s">
        <v>4757</v>
      </c>
    </row>
    <row r="211" spans="1:10">
      <c r="A211" s="2">
        <v>208</v>
      </c>
      <c r="B211" s="3" t="s">
        <v>4758</v>
      </c>
      <c r="C211" s="4" t="s">
        <v>45</v>
      </c>
      <c r="D211" s="5" t="s">
        <v>4759</v>
      </c>
      <c r="E211" s="6" t="s">
        <v>12</v>
      </c>
      <c r="F211" s="4" t="s">
        <v>4109</v>
      </c>
      <c r="G211" s="7" t="s">
        <v>4110</v>
      </c>
      <c r="H211" s="8" t="s">
        <v>4760</v>
      </c>
      <c r="I211" s="9" t="s">
        <v>4761</v>
      </c>
      <c r="J211" s="21"/>
    </row>
    <row r="212" spans="1:10">
      <c r="A212" s="2">
        <v>209</v>
      </c>
      <c r="B212" s="11" t="s">
        <v>4762</v>
      </c>
      <c r="C212" s="12" t="s">
        <v>27</v>
      </c>
      <c r="D212" s="13" t="s">
        <v>4763</v>
      </c>
      <c r="E212" s="14" t="s">
        <v>12</v>
      </c>
      <c r="F212" s="12" t="s">
        <v>4065</v>
      </c>
      <c r="G212" s="15" t="s">
        <v>3998</v>
      </c>
      <c r="H212" s="16" t="s">
        <v>4738</v>
      </c>
      <c r="I212" s="17" t="s">
        <v>4764</v>
      </c>
      <c r="J212" s="18"/>
    </row>
    <row r="213" spans="1:10">
      <c r="A213" s="2">
        <v>210</v>
      </c>
      <c r="B213" s="3" t="s">
        <v>4765</v>
      </c>
      <c r="C213" s="4" t="s">
        <v>4309</v>
      </c>
      <c r="D213" s="19" t="s">
        <v>4766</v>
      </c>
      <c r="E213" s="20" t="s">
        <v>9</v>
      </c>
      <c r="F213" s="12"/>
      <c r="G213" s="15"/>
      <c r="H213" s="17"/>
      <c r="I213" s="9"/>
      <c r="J213" s="9"/>
    </row>
    <row r="214" spans="1:10">
      <c r="A214" s="2">
        <v>211</v>
      </c>
      <c r="B214" s="3" t="s">
        <v>4767</v>
      </c>
      <c r="C214" s="4" t="s">
        <v>19</v>
      </c>
      <c r="D214" s="5" t="s">
        <v>4768</v>
      </c>
      <c r="E214" s="6" t="s">
        <v>12</v>
      </c>
      <c r="F214" s="4" t="s">
        <v>4065</v>
      </c>
      <c r="G214" s="7" t="s">
        <v>4022</v>
      </c>
      <c r="H214" s="8" t="s">
        <v>4769</v>
      </c>
      <c r="I214" s="9" t="s">
        <v>4770</v>
      </c>
      <c r="J214" s="21"/>
    </row>
    <row r="215" spans="1:10">
      <c r="A215" s="2">
        <v>212</v>
      </c>
      <c r="B215" s="3" t="s">
        <v>4771</v>
      </c>
      <c r="C215" s="4" t="s">
        <v>43</v>
      </c>
      <c r="D215" s="5" t="s">
        <v>4772</v>
      </c>
      <c r="E215" s="6" t="s">
        <v>9</v>
      </c>
      <c r="F215" s="4" t="s">
        <v>4065</v>
      </c>
      <c r="G215" s="7" t="s">
        <v>3963</v>
      </c>
      <c r="H215" s="8" t="s">
        <v>4773</v>
      </c>
      <c r="I215" s="9" t="s">
        <v>4774</v>
      </c>
      <c r="J215" s="21" t="s">
        <v>4775</v>
      </c>
    </row>
    <row r="216" spans="1:10">
      <c r="A216" s="2">
        <v>213</v>
      </c>
      <c r="B216" s="11" t="s">
        <v>4776</v>
      </c>
      <c r="C216" s="12" t="s">
        <v>25</v>
      </c>
      <c r="D216" s="13" t="s">
        <v>4777</v>
      </c>
      <c r="E216" s="14" t="s">
        <v>12</v>
      </c>
      <c r="F216" s="12" t="s">
        <v>3969</v>
      </c>
      <c r="G216" s="15" t="s">
        <v>3998</v>
      </c>
      <c r="H216" s="17"/>
      <c r="I216" s="17"/>
      <c r="J216" s="18"/>
    </row>
    <row r="217" spans="1:10">
      <c r="A217" s="2">
        <v>214</v>
      </c>
      <c r="B217" s="3" t="s">
        <v>4778</v>
      </c>
      <c r="C217" s="4" t="s">
        <v>75</v>
      </c>
      <c r="D217" s="13" t="s">
        <v>4779</v>
      </c>
      <c r="E217" s="6" t="s">
        <v>12</v>
      </c>
      <c r="F217" s="12" t="s">
        <v>4041</v>
      </c>
      <c r="G217" s="15" t="s">
        <v>4141</v>
      </c>
      <c r="H217" s="16" t="s">
        <v>4780</v>
      </c>
      <c r="I217" s="9" t="s">
        <v>4781</v>
      </c>
      <c r="J217" s="21" t="s">
        <v>4782</v>
      </c>
    </row>
    <row r="218" spans="1:10">
      <c r="A218" s="2">
        <v>215</v>
      </c>
      <c r="B218" s="11" t="s">
        <v>4783</v>
      </c>
      <c r="C218" s="12" t="s">
        <v>41</v>
      </c>
      <c r="D218" s="13" t="s">
        <v>4784</v>
      </c>
      <c r="E218" s="14" t="s">
        <v>9</v>
      </c>
      <c r="F218" s="12" t="s">
        <v>4008</v>
      </c>
      <c r="G218" s="15" t="s">
        <v>3998</v>
      </c>
      <c r="H218" s="16" t="s">
        <v>4785</v>
      </c>
      <c r="I218" s="17" t="s">
        <v>4239</v>
      </c>
      <c r="J218" s="18" t="s">
        <v>4786</v>
      </c>
    </row>
    <row r="219" spans="1:10">
      <c r="A219" s="2">
        <v>216</v>
      </c>
      <c r="B219" s="3" t="s">
        <v>4787</v>
      </c>
      <c r="C219" s="4" t="s">
        <v>132</v>
      </c>
      <c r="D219" s="13" t="s">
        <v>4788</v>
      </c>
      <c r="E219" s="6" t="s">
        <v>12</v>
      </c>
      <c r="F219" s="12" t="s">
        <v>3935</v>
      </c>
      <c r="G219" s="15" t="s">
        <v>4120</v>
      </c>
      <c r="H219" s="16" t="s">
        <v>4789</v>
      </c>
      <c r="I219" s="9" t="s">
        <v>4790</v>
      </c>
      <c r="J219" s="21" t="s">
        <v>4791</v>
      </c>
    </row>
    <row r="220" spans="1:10">
      <c r="A220" s="2">
        <v>217</v>
      </c>
      <c r="B220" s="3" t="s">
        <v>4792</v>
      </c>
      <c r="C220" s="4" t="s">
        <v>218</v>
      </c>
      <c r="D220" s="5" t="s">
        <v>4793</v>
      </c>
      <c r="E220" s="6" t="s">
        <v>9</v>
      </c>
      <c r="F220" s="4" t="s">
        <v>4025</v>
      </c>
      <c r="G220" s="7" t="s">
        <v>4120</v>
      </c>
      <c r="H220" s="8" t="s">
        <v>4794</v>
      </c>
      <c r="I220" s="9" t="s">
        <v>4795</v>
      </c>
      <c r="J220" s="21" t="s">
        <v>4796</v>
      </c>
    </row>
    <row r="221" spans="1:10">
      <c r="A221" s="2">
        <v>218</v>
      </c>
      <c r="B221" s="3" t="s">
        <v>4797</v>
      </c>
      <c r="C221" s="4" t="s">
        <v>62</v>
      </c>
      <c r="D221" s="5" t="s">
        <v>4798</v>
      </c>
      <c r="E221" s="6" t="s">
        <v>12</v>
      </c>
      <c r="F221" s="4" t="s">
        <v>4109</v>
      </c>
      <c r="G221" s="7" t="s">
        <v>4022</v>
      </c>
      <c r="H221" s="9"/>
      <c r="I221" s="9"/>
      <c r="J221" s="21"/>
    </row>
    <row r="222" spans="1:10">
      <c r="A222" s="2">
        <v>219</v>
      </c>
      <c r="B222" s="11" t="s">
        <v>4799</v>
      </c>
      <c r="C222" s="12" t="s">
        <v>31</v>
      </c>
      <c r="D222" s="13" t="s">
        <v>4800</v>
      </c>
      <c r="E222" s="14" t="s">
        <v>12</v>
      </c>
      <c r="F222" s="12" t="s">
        <v>4154</v>
      </c>
      <c r="G222" s="15" t="s">
        <v>3985</v>
      </c>
      <c r="H222" s="16" t="s">
        <v>4801</v>
      </c>
      <c r="I222" s="17" t="s">
        <v>4802</v>
      </c>
      <c r="J222" s="18" t="s">
        <v>4803</v>
      </c>
    </row>
    <row r="223" spans="1:10">
      <c r="A223" s="2">
        <v>220</v>
      </c>
      <c r="B223" s="3" t="s">
        <v>4804</v>
      </c>
      <c r="C223" s="4" t="s">
        <v>2145</v>
      </c>
      <c r="D223" s="13" t="s">
        <v>4805</v>
      </c>
      <c r="E223" s="6" t="s">
        <v>12</v>
      </c>
      <c r="F223" s="12" t="s">
        <v>3969</v>
      </c>
      <c r="G223" s="15" t="s">
        <v>4022</v>
      </c>
      <c r="H223" s="16" t="s">
        <v>4806</v>
      </c>
      <c r="I223" s="9" t="s">
        <v>4807</v>
      </c>
      <c r="J223" s="21" t="s">
        <v>4808</v>
      </c>
    </row>
    <row r="224" spans="1:10">
      <c r="A224" s="2">
        <v>221</v>
      </c>
      <c r="B224" s="11" t="s">
        <v>4809</v>
      </c>
      <c r="C224" s="12" t="s">
        <v>118</v>
      </c>
      <c r="D224" s="13" t="s">
        <v>4810</v>
      </c>
      <c r="E224" s="14" t="s">
        <v>12</v>
      </c>
      <c r="F224" s="12" t="s">
        <v>4109</v>
      </c>
      <c r="G224" s="15" t="s">
        <v>3902</v>
      </c>
      <c r="H224" s="16" t="s">
        <v>4811</v>
      </c>
      <c r="I224" s="17" t="s">
        <v>4812</v>
      </c>
      <c r="J224" s="18" t="s">
        <v>4813</v>
      </c>
    </row>
    <row r="225" spans="1:10">
      <c r="A225" s="2">
        <v>222</v>
      </c>
      <c r="B225" s="3" t="s">
        <v>4814</v>
      </c>
      <c r="C225" s="4" t="s">
        <v>31</v>
      </c>
      <c r="D225" s="5" t="s">
        <v>4815</v>
      </c>
      <c r="E225" s="6" t="s">
        <v>12</v>
      </c>
      <c r="F225" s="4" t="s">
        <v>3916</v>
      </c>
      <c r="G225" s="7" t="s">
        <v>4161</v>
      </c>
      <c r="H225" s="8" t="s">
        <v>4816</v>
      </c>
      <c r="I225" s="9" t="s">
        <v>4817</v>
      </c>
      <c r="J225" s="21" t="s">
        <v>4818</v>
      </c>
    </row>
    <row r="226" spans="1:10">
      <c r="A226" s="2">
        <v>223</v>
      </c>
      <c r="B226" s="11" t="s">
        <v>4819</v>
      </c>
      <c r="C226" s="12" t="s">
        <v>31</v>
      </c>
      <c r="D226" s="13" t="s">
        <v>4820</v>
      </c>
      <c r="E226" s="14" t="s">
        <v>12</v>
      </c>
      <c r="F226" s="12" t="s">
        <v>4016</v>
      </c>
      <c r="G226" s="33" t="s">
        <v>4032</v>
      </c>
      <c r="H226" s="34"/>
      <c r="I226" s="34"/>
      <c r="J226" s="18"/>
    </row>
    <row r="227" spans="1:10">
      <c r="A227" s="2">
        <v>224</v>
      </c>
      <c r="B227" s="11" t="s">
        <v>4821</v>
      </c>
      <c r="C227" s="12" t="s">
        <v>43</v>
      </c>
      <c r="D227" s="13" t="s">
        <v>4822</v>
      </c>
      <c r="E227" s="14" t="s">
        <v>12</v>
      </c>
      <c r="F227" s="12" t="s">
        <v>4065</v>
      </c>
      <c r="G227" s="33" t="s">
        <v>4009</v>
      </c>
      <c r="H227" s="35" t="s">
        <v>4823</v>
      </c>
      <c r="I227" s="34" t="s">
        <v>4824</v>
      </c>
      <c r="J227" s="18" t="s">
        <v>4825</v>
      </c>
    </row>
    <row r="228" spans="1:10">
      <c r="A228" s="2">
        <v>225</v>
      </c>
      <c r="B228" s="17" t="s">
        <v>4826</v>
      </c>
      <c r="C228" s="36" t="s">
        <v>75</v>
      </c>
      <c r="D228" s="18" t="s">
        <v>4827</v>
      </c>
      <c r="E228" s="37"/>
      <c r="F228" s="36"/>
      <c r="G228" s="38"/>
      <c r="H228" s="35" t="s">
        <v>4828</v>
      </c>
      <c r="I228" s="34" t="s">
        <v>4196</v>
      </c>
      <c r="J228" s="18"/>
    </row>
    <row r="229" spans="1:10">
      <c r="A229" s="2">
        <v>226</v>
      </c>
      <c r="B229" s="9" t="s">
        <v>4829</v>
      </c>
      <c r="C229" s="26"/>
      <c r="D229" s="18" t="s">
        <v>4830</v>
      </c>
      <c r="E229" s="27" t="s">
        <v>12</v>
      </c>
      <c r="F229" s="36" t="s">
        <v>3944</v>
      </c>
      <c r="G229" s="38" t="s">
        <v>4120</v>
      </c>
      <c r="H229" s="35" t="s">
        <v>4831</v>
      </c>
      <c r="I229" s="24" t="s">
        <v>4196</v>
      </c>
      <c r="J229" s="21" t="s">
        <v>4832</v>
      </c>
    </row>
    <row r="230" spans="1:10">
      <c r="A230" s="2">
        <v>227</v>
      </c>
      <c r="B230" s="17" t="s">
        <v>4833</v>
      </c>
      <c r="C230" s="36" t="s">
        <v>23</v>
      </c>
      <c r="D230" s="18" t="s">
        <v>4834</v>
      </c>
      <c r="E230" s="37" t="s">
        <v>12</v>
      </c>
      <c r="F230" s="36" t="s">
        <v>4008</v>
      </c>
      <c r="G230" s="38" t="s">
        <v>4280</v>
      </c>
      <c r="H230" s="35" t="s">
        <v>4835</v>
      </c>
      <c r="I230" s="34" t="s">
        <v>4836</v>
      </c>
      <c r="J230" s="18" t="s">
        <v>4837</v>
      </c>
    </row>
    <row r="231" spans="1:10">
      <c r="A231" s="2">
        <v>228</v>
      </c>
      <c r="B231" s="3" t="s">
        <v>4838</v>
      </c>
      <c r="C231" s="4" t="s">
        <v>21</v>
      </c>
      <c r="D231" s="5" t="s">
        <v>4839</v>
      </c>
      <c r="E231" s="6" t="s">
        <v>12</v>
      </c>
      <c r="F231" s="4" t="s">
        <v>3935</v>
      </c>
      <c r="G231" s="7" t="s">
        <v>3980</v>
      </c>
      <c r="H231" s="8" t="s">
        <v>4840</v>
      </c>
      <c r="I231" s="9" t="s">
        <v>4841</v>
      </c>
      <c r="J231" s="21"/>
    </row>
    <row r="232" spans="1:10">
      <c r="A232" s="2">
        <v>229</v>
      </c>
      <c r="B232" s="11" t="s">
        <v>4842</v>
      </c>
      <c r="C232" s="12" t="s">
        <v>113</v>
      </c>
      <c r="D232" s="13" t="s">
        <v>4843</v>
      </c>
      <c r="E232" s="14" t="s">
        <v>12</v>
      </c>
      <c r="F232" s="12" t="s">
        <v>4025</v>
      </c>
      <c r="G232" s="15" t="s">
        <v>3980</v>
      </c>
      <c r="H232" s="17"/>
      <c r="I232" s="17"/>
      <c r="J232" s="18"/>
    </row>
    <row r="233" spans="1:10">
      <c r="A233" s="2">
        <v>230</v>
      </c>
      <c r="B233" s="3" t="s">
        <v>4844</v>
      </c>
      <c r="C233" s="4" t="s">
        <v>19</v>
      </c>
      <c r="D233" s="5" t="s">
        <v>4845</v>
      </c>
      <c r="E233" s="6" t="s">
        <v>12</v>
      </c>
      <c r="F233" s="4" t="s">
        <v>3916</v>
      </c>
      <c r="G233" s="7" t="s">
        <v>3917</v>
      </c>
      <c r="H233" s="8" t="s">
        <v>4846</v>
      </c>
      <c r="I233" s="9" t="s">
        <v>4847</v>
      </c>
      <c r="J233" s="21" t="s">
        <v>4848</v>
      </c>
    </row>
    <row r="234" spans="1:10">
      <c r="A234" s="2">
        <v>231</v>
      </c>
      <c r="B234" s="11" t="s">
        <v>4849</v>
      </c>
      <c r="C234" s="12" t="s">
        <v>77</v>
      </c>
      <c r="D234" s="13" t="s">
        <v>4850</v>
      </c>
      <c r="E234" s="14" t="s">
        <v>12</v>
      </c>
      <c r="F234" s="12" t="s">
        <v>4025</v>
      </c>
      <c r="G234" s="15" t="s">
        <v>3985</v>
      </c>
      <c r="H234" s="16" t="s">
        <v>4851</v>
      </c>
      <c r="I234" s="17" t="s">
        <v>4852</v>
      </c>
      <c r="J234" s="18"/>
    </row>
    <row r="235" spans="1:10">
      <c r="A235" s="2">
        <v>232</v>
      </c>
      <c r="B235" s="3" t="s">
        <v>4853</v>
      </c>
      <c r="C235" s="4" t="s">
        <v>138</v>
      </c>
      <c r="D235" s="5" t="s">
        <v>4854</v>
      </c>
      <c r="E235" s="6" t="s">
        <v>12</v>
      </c>
      <c r="F235" s="4" t="s">
        <v>3950</v>
      </c>
      <c r="G235" s="7" t="s">
        <v>4084</v>
      </c>
      <c r="H235" s="8" t="s">
        <v>4855</v>
      </c>
      <c r="I235" s="9" t="s">
        <v>4856</v>
      </c>
      <c r="J235" s="21"/>
    </row>
    <row r="236" spans="1:10">
      <c r="A236" s="2">
        <v>233</v>
      </c>
      <c r="B236" s="3" t="s">
        <v>4857</v>
      </c>
      <c r="C236" s="4" t="s">
        <v>16</v>
      </c>
      <c r="D236" s="5" t="s">
        <v>4858</v>
      </c>
      <c r="E236" s="6" t="s">
        <v>12</v>
      </c>
      <c r="F236" s="4" t="s">
        <v>4083</v>
      </c>
      <c r="G236" s="7" t="s">
        <v>4022</v>
      </c>
      <c r="H236" s="8" t="s">
        <v>4859</v>
      </c>
      <c r="I236" s="9" t="s">
        <v>3990</v>
      </c>
      <c r="J236" s="21"/>
    </row>
    <row r="237" spans="1:10">
      <c r="A237" s="2">
        <v>234</v>
      </c>
      <c r="B237" s="3" t="s">
        <v>4860</v>
      </c>
      <c r="C237" s="4" t="s">
        <v>19</v>
      </c>
      <c r="D237" s="5" t="s">
        <v>4861</v>
      </c>
      <c r="E237" s="6"/>
      <c r="F237" s="4"/>
      <c r="G237" s="7"/>
      <c r="H237" s="8" t="s">
        <v>4862</v>
      </c>
      <c r="I237" s="9" t="s">
        <v>4863</v>
      </c>
      <c r="J237" s="21"/>
    </row>
    <row r="238" spans="1:10">
      <c r="A238" s="2">
        <v>235</v>
      </c>
      <c r="B238" s="11" t="s">
        <v>4864</v>
      </c>
      <c r="C238" s="12" t="s">
        <v>4437</v>
      </c>
      <c r="D238" s="13" t="s">
        <v>4865</v>
      </c>
      <c r="E238" s="14" t="s">
        <v>9</v>
      </c>
      <c r="F238" s="12" t="s">
        <v>4041</v>
      </c>
      <c r="G238" s="15" t="s">
        <v>3980</v>
      </c>
      <c r="H238" s="16" t="s">
        <v>4866</v>
      </c>
      <c r="I238" s="17" t="s">
        <v>4867</v>
      </c>
      <c r="J238" s="18" t="s">
        <v>4868</v>
      </c>
    </row>
    <row r="239" spans="1:10">
      <c r="A239" s="2">
        <v>236</v>
      </c>
      <c r="B239" s="11" t="s">
        <v>4869</v>
      </c>
      <c r="C239" s="12" t="s">
        <v>1962</v>
      </c>
      <c r="D239" s="13" t="s">
        <v>4870</v>
      </c>
      <c r="E239" s="14"/>
      <c r="F239" s="12" t="s">
        <v>4376</v>
      </c>
      <c r="G239" s="15" t="s">
        <v>4022</v>
      </c>
      <c r="H239" s="16" t="s">
        <v>4871</v>
      </c>
      <c r="I239" s="17"/>
      <c r="J239" s="18"/>
    </row>
    <row r="240" spans="1:10">
      <c r="A240" s="2">
        <v>237</v>
      </c>
      <c r="B240" s="11" t="s">
        <v>4872</v>
      </c>
      <c r="C240" s="12" t="s">
        <v>213</v>
      </c>
      <c r="D240" s="13" t="s">
        <v>4873</v>
      </c>
      <c r="E240" s="14" t="s">
        <v>12</v>
      </c>
      <c r="F240" s="12" t="s">
        <v>4089</v>
      </c>
      <c r="G240" s="15" t="s">
        <v>3924</v>
      </c>
      <c r="H240" s="16" t="s">
        <v>4874</v>
      </c>
      <c r="I240" s="17" t="s">
        <v>4875</v>
      </c>
      <c r="J240" s="18" t="s">
        <v>4876</v>
      </c>
    </row>
    <row r="241" spans="1:10">
      <c r="A241" s="2">
        <v>238</v>
      </c>
      <c r="B241" s="3" t="s">
        <v>4877</v>
      </c>
      <c r="C241" s="4" t="s">
        <v>71</v>
      </c>
      <c r="D241" s="5" t="s">
        <v>4878</v>
      </c>
      <c r="E241" s="6" t="s">
        <v>12</v>
      </c>
      <c r="F241" s="4" t="s">
        <v>4178</v>
      </c>
      <c r="G241" s="7" t="s">
        <v>3998</v>
      </c>
      <c r="H241" s="8" t="s">
        <v>4879</v>
      </c>
      <c r="I241" s="9" t="s">
        <v>4880</v>
      </c>
      <c r="J241" s="21" t="s">
        <v>4881</v>
      </c>
    </row>
    <row r="242" spans="1:10">
      <c r="A242" s="2">
        <v>239</v>
      </c>
      <c r="B242" s="3" t="s">
        <v>4882</v>
      </c>
      <c r="C242" s="4" t="s">
        <v>138</v>
      </c>
      <c r="D242" s="5" t="s">
        <v>4883</v>
      </c>
      <c r="E242" s="6" t="s">
        <v>12</v>
      </c>
      <c r="F242" s="4" t="s">
        <v>4181</v>
      </c>
      <c r="G242" s="7" t="s">
        <v>4290</v>
      </c>
      <c r="H242" s="8" t="s">
        <v>4884</v>
      </c>
      <c r="I242" s="9" t="s">
        <v>4885</v>
      </c>
      <c r="J242" s="21" t="s">
        <v>4886</v>
      </c>
    </row>
    <row r="243" spans="1:10">
      <c r="A243" s="2">
        <v>240</v>
      </c>
      <c r="B243" s="11" t="s">
        <v>4887</v>
      </c>
      <c r="C243" s="12" t="s">
        <v>144</v>
      </c>
      <c r="D243" s="13" t="s">
        <v>4888</v>
      </c>
      <c r="E243" s="12" t="s">
        <v>12</v>
      </c>
      <c r="F243" s="12" t="s">
        <v>4144</v>
      </c>
      <c r="G243" s="15" t="s">
        <v>3985</v>
      </c>
      <c r="H243" s="17"/>
      <c r="I243" s="17"/>
      <c r="J243" s="18"/>
    </row>
    <row r="244" spans="1:10">
      <c r="A244" s="2">
        <v>241</v>
      </c>
      <c r="B244" s="3" t="s">
        <v>4889</v>
      </c>
      <c r="C244" s="4" t="s">
        <v>45</v>
      </c>
      <c r="D244" s="13" t="s">
        <v>4890</v>
      </c>
      <c r="E244" s="12" t="s">
        <v>9</v>
      </c>
      <c r="F244" s="12" t="s">
        <v>4181</v>
      </c>
      <c r="G244" s="15" t="s">
        <v>4120</v>
      </c>
      <c r="H244" s="16" t="s">
        <v>4891</v>
      </c>
      <c r="I244" s="17" t="s">
        <v>4892</v>
      </c>
      <c r="J244" s="18" t="s">
        <v>4890</v>
      </c>
    </row>
    <row r="245" spans="1:10">
      <c r="A245" s="2">
        <v>242</v>
      </c>
      <c r="B245" s="11" t="s">
        <v>4893</v>
      </c>
      <c r="C245" s="12" t="s">
        <v>218</v>
      </c>
      <c r="D245" s="13" t="s">
        <v>4894</v>
      </c>
      <c r="E245" s="14" t="s">
        <v>12</v>
      </c>
      <c r="F245" s="12" t="s">
        <v>4277</v>
      </c>
      <c r="G245" s="15" t="s">
        <v>4049</v>
      </c>
      <c r="H245" s="17"/>
      <c r="I245" s="17"/>
      <c r="J245" s="18"/>
    </row>
    <row r="246" spans="1:10">
      <c r="A246" s="2">
        <v>243</v>
      </c>
      <c r="B246" s="3" t="s">
        <v>4895</v>
      </c>
      <c r="C246" s="4" t="s">
        <v>14</v>
      </c>
      <c r="D246" s="5" t="s">
        <v>4896</v>
      </c>
      <c r="E246" s="6" t="s">
        <v>12</v>
      </c>
      <c r="F246" s="4" t="s">
        <v>4083</v>
      </c>
      <c r="G246" s="7" t="s">
        <v>4022</v>
      </c>
      <c r="H246" s="8" t="s">
        <v>4897</v>
      </c>
      <c r="I246" s="9" t="s">
        <v>4898</v>
      </c>
      <c r="J246" s="21"/>
    </row>
    <row r="247" spans="1:10">
      <c r="A247" s="2">
        <v>244</v>
      </c>
      <c r="B247" s="11" t="s">
        <v>4899</v>
      </c>
      <c r="C247" s="12" t="s">
        <v>96</v>
      </c>
      <c r="D247" s="13" t="s">
        <v>4900</v>
      </c>
      <c r="E247" s="14" t="s">
        <v>12</v>
      </c>
      <c r="F247" s="12" t="s">
        <v>3916</v>
      </c>
      <c r="G247" s="15" t="s">
        <v>4161</v>
      </c>
      <c r="H247" s="16" t="s">
        <v>4901</v>
      </c>
      <c r="I247" s="17" t="s">
        <v>4902</v>
      </c>
      <c r="J247" s="18" t="s">
        <v>4903</v>
      </c>
    </row>
    <row r="248" spans="1:10">
      <c r="A248" s="2">
        <v>245</v>
      </c>
      <c r="B248" s="3" t="s">
        <v>4904</v>
      </c>
      <c r="C248" s="4" t="s">
        <v>77</v>
      </c>
      <c r="D248" s="5" t="s">
        <v>4905</v>
      </c>
      <c r="E248" s="6" t="s">
        <v>12</v>
      </c>
      <c r="F248" s="4" t="s">
        <v>4274</v>
      </c>
      <c r="G248" s="7" t="s">
        <v>3957</v>
      </c>
      <c r="H248" s="8" t="s">
        <v>4906</v>
      </c>
      <c r="I248" s="9" t="s">
        <v>4907</v>
      </c>
      <c r="J248" s="21"/>
    </row>
    <row r="249" spans="1:10">
      <c r="A249" s="2">
        <v>246</v>
      </c>
      <c r="B249" s="3" t="s">
        <v>4908</v>
      </c>
      <c r="C249" s="4" t="s">
        <v>31</v>
      </c>
      <c r="D249" s="5" t="s">
        <v>4909</v>
      </c>
      <c r="E249" s="6" t="s">
        <v>12</v>
      </c>
      <c r="F249" s="4" t="s">
        <v>4089</v>
      </c>
      <c r="G249" s="7" t="s">
        <v>4141</v>
      </c>
      <c r="H249" s="8"/>
      <c r="I249" s="9"/>
      <c r="J249" s="21"/>
    </row>
    <row r="250" spans="1:10">
      <c r="A250" s="2">
        <v>247</v>
      </c>
      <c r="B250" s="3" t="s">
        <v>4910</v>
      </c>
      <c r="C250" s="4" t="s">
        <v>3940</v>
      </c>
      <c r="D250" s="19" t="s">
        <v>4911</v>
      </c>
      <c r="E250" s="20" t="s">
        <v>12</v>
      </c>
      <c r="F250" s="12"/>
      <c r="G250" s="15"/>
      <c r="H250" s="17"/>
      <c r="I250" s="9"/>
      <c r="J250" s="9"/>
    </row>
    <row r="251" spans="1:10">
      <c r="A251" s="2">
        <v>248</v>
      </c>
      <c r="B251" s="3" t="s">
        <v>4912</v>
      </c>
      <c r="C251" s="4" t="s">
        <v>2768</v>
      </c>
      <c r="D251" s="5" t="s">
        <v>4913</v>
      </c>
      <c r="E251" s="6" t="s">
        <v>12</v>
      </c>
      <c r="F251" s="4" t="s">
        <v>4154</v>
      </c>
      <c r="G251" s="7" t="s">
        <v>3963</v>
      </c>
      <c r="H251" s="8" t="s">
        <v>4914</v>
      </c>
      <c r="I251" s="9" t="s">
        <v>4915</v>
      </c>
      <c r="J251" s="21" t="s">
        <v>4916</v>
      </c>
    </row>
    <row r="252" spans="1:10">
      <c r="A252" s="2">
        <v>249</v>
      </c>
      <c r="B252" s="3" t="s">
        <v>4917</v>
      </c>
      <c r="C252" s="4" t="s">
        <v>64</v>
      </c>
      <c r="D252" s="5" t="s">
        <v>4918</v>
      </c>
      <c r="E252" s="6"/>
      <c r="F252" s="4"/>
      <c r="G252" s="7"/>
      <c r="H252" s="8" t="s">
        <v>4919</v>
      </c>
      <c r="I252" s="9"/>
      <c r="J252" s="21"/>
    </row>
    <row r="253" spans="1:10">
      <c r="A253" s="2">
        <v>250</v>
      </c>
      <c r="B253" s="3" t="s">
        <v>4920</v>
      </c>
      <c r="C253" s="4" t="s">
        <v>16</v>
      </c>
      <c r="D253" s="5" t="s">
        <v>4921</v>
      </c>
      <c r="E253" s="6" t="s">
        <v>9</v>
      </c>
      <c r="F253" s="4" t="s">
        <v>4922</v>
      </c>
      <c r="G253" s="7" t="s">
        <v>4237</v>
      </c>
      <c r="H253" s="8" t="s">
        <v>4923</v>
      </c>
      <c r="I253" s="9" t="s">
        <v>4924</v>
      </c>
      <c r="J253" s="21"/>
    </row>
    <row r="254" spans="1:10">
      <c r="A254" s="2">
        <v>251</v>
      </c>
      <c r="B254" s="11" t="s">
        <v>4925</v>
      </c>
      <c r="C254" s="12" t="s">
        <v>38</v>
      </c>
      <c r="D254" s="13" t="s">
        <v>4926</v>
      </c>
      <c r="E254" s="14" t="s">
        <v>12</v>
      </c>
      <c r="F254" s="12" t="s">
        <v>4277</v>
      </c>
      <c r="G254" s="15" t="s">
        <v>3902</v>
      </c>
      <c r="H254" s="16" t="s">
        <v>4927</v>
      </c>
      <c r="I254" s="9" t="s">
        <v>4928</v>
      </c>
      <c r="J254" s="21"/>
    </row>
    <row r="255" spans="1:10">
      <c r="A255" s="2">
        <v>252</v>
      </c>
      <c r="B255" s="3" t="s">
        <v>4929</v>
      </c>
      <c r="C255" s="4" t="s">
        <v>53</v>
      </c>
      <c r="D255" s="5" t="s">
        <v>4930</v>
      </c>
      <c r="E255" s="6" t="s">
        <v>12</v>
      </c>
      <c r="F255" s="4" t="s">
        <v>3944</v>
      </c>
      <c r="G255" s="7" t="s">
        <v>4155</v>
      </c>
      <c r="H255" s="8" t="s">
        <v>4931</v>
      </c>
      <c r="I255" s="9" t="s">
        <v>4932</v>
      </c>
      <c r="J255" s="21"/>
    </row>
    <row r="256" spans="1:10">
      <c r="A256" s="2">
        <v>253</v>
      </c>
      <c r="B256" s="11" t="s">
        <v>4933</v>
      </c>
      <c r="C256" s="12" t="s">
        <v>96</v>
      </c>
      <c r="D256" s="13" t="s">
        <v>4934</v>
      </c>
      <c r="E256" s="14" t="s">
        <v>9</v>
      </c>
      <c r="F256" s="12" t="s">
        <v>3923</v>
      </c>
      <c r="G256" s="15" t="s">
        <v>4155</v>
      </c>
      <c r="H256" s="16" t="s">
        <v>4935</v>
      </c>
      <c r="I256" s="17" t="s">
        <v>4936</v>
      </c>
      <c r="J256" s="18" t="s">
        <v>4937</v>
      </c>
    </row>
    <row r="257" spans="1:10">
      <c r="A257" s="2">
        <v>254</v>
      </c>
      <c r="B257" s="3" t="s">
        <v>4938</v>
      </c>
      <c r="C257" s="4" t="s">
        <v>53</v>
      </c>
      <c r="D257" s="13" t="s">
        <v>4939</v>
      </c>
      <c r="E257" s="6"/>
      <c r="F257" s="12"/>
      <c r="G257" s="15"/>
      <c r="H257" s="16"/>
      <c r="I257" s="9"/>
      <c r="J257" s="21"/>
    </row>
    <row r="258" spans="1:10">
      <c r="A258" s="2">
        <v>255</v>
      </c>
      <c r="B258" s="3" t="s">
        <v>4940</v>
      </c>
      <c r="C258" s="4" t="s">
        <v>132</v>
      </c>
      <c r="D258" s="5" t="s">
        <v>4941</v>
      </c>
      <c r="E258" s="6" t="s">
        <v>9</v>
      </c>
      <c r="F258" s="4" t="s">
        <v>4109</v>
      </c>
      <c r="G258" s="7" t="s">
        <v>4161</v>
      </c>
      <c r="H258" s="9"/>
      <c r="I258" s="9"/>
      <c r="J258" s="21"/>
    </row>
    <row r="259" spans="1:10">
      <c r="A259" s="2">
        <v>256</v>
      </c>
      <c r="B259" s="11" t="s">
        <v>4942</v>
      </c>
      <c r="C259" s="12" t="s">
        <v>218</v>
      </c>
      <c r="D259" s="13" t="s">
        <v>4943</v>
      </c>
      <c r="E259" s="14" t="s">
        <v>12</v>
      </c>
      <c r="F259" s="12" t="s">
        <v>4048</v>
      </c>
      <c r="G259" s="15" t="s">
        <v>3963</v>
      </c>
      <c r="H259" s="16" t="s">
        <v>4944</v>
      </c>
      <c r="I259" s="9" t="s">
        <v>4945</v>
      </c>
      <c r="J259" s="21"/>
    </row>
    <row r="260" spans="1:10">
      <c r="A260" s="2">
        <v>257</v>
      </c>
      <c r="B260" s="3" t="s">
        <v>4946</v>
      </c>
      <c r="C260" s="4" t="s">
        <v>53</v>
      </c>
      <c r="D260" s="5" t="s">
        <v>4947</v>
      </c>
      <c r="E260" s="6" t="s">
        <v>9</v>
      </c>
      <c r="F260" s="4" t="s">
        <v>4200</v>
      </c>
      <c r="G260" s="7" t="s">
        <v>3945</v>
      </c>
      <c r="H260" s="8" t="s">
        <v>4948</v>
      </c>
      <c r="I260" s="9" t="s">
        <v>4949</v>
      </c>
      <c r="J260" s="21"/>
    </row>
    <row r="261" spans="1:10">
      <c r="A261" s="2">
        <v>258</v>
      </c>
      <c r="B261" s="11" t="s">
        <v>4950</v>
      </c>
      <c r="C261" s="12" t="s">
        <v>4437</v>
      </c>
      <c r="D261" s="13" t="s">
        <v>4951</v>
      </c>
      <c r="E261" s="14" t="s">
        <v>9</v>
      </c>
      <c r="F261" s="12" t="s">
        <v>3950</v>
      </c>
      <c r="G261" s="15" t="s">
        <v>4155</v>
      </c>
      <c r="H261" s="16" t="s">
        <v>4952</v>
      </c>
      <c r="I261" s="17" t="s">
        <v>4953</v>
      </c>
      <c r="J261" s="18" t="s">
        <v>4954</v>
      </c>
    </row>
    <row r="262" spans="1:10">
      <c r="A262" s="2">
        <v>259</v>
      </c>
      <c r="B262" s="3" t="s">
        <v>4955</v>
      </c>
      <c r="C262" s="4" t="s">
        <v>57</v>
      </c>
      <c r="D262" s="5" t="s">
        <v>4956</v>
      </c>
      <c r="E262" s="6" t="s">
        <v>9</v>
      </c>
      <c r="F262" s="4" t="s">
        <v>3969</v>
      </c>
      <c r="G262" s="7" t="s">
        <v>3963</v>
      </c>
      <c r="H262" s="9"/>
      <c r="I262" s="9"/>
      <c r="J262" s="21"/>
    </row>
    <row r="263" spans="1:10">
      <c r="A263" s="2">
        <v>260</v>
      </c>
      <c r="B263" s="3" t="s">
        <v>4957</v>
      </c>
      <c r="C263" s="4" t="s">
        <v>118</v>
      </c>
      <c r="D263" s="5" t="s">
        <v>4958</v>
      </c>
      <c r="E263" s="6" t="s">
        <v>12</v>
      </c>
      <c r="F263" s="4"/>
      <c r="G263" s="7"/>
      <c r="H263" s="8" t="s">
        <v>4959</v>
      </c>
      <c r="I263" s="9" t="s">
        <v>4135</v>
      </c>
      <c r="J263" s="21"/>
    </row>
    <row r="264" spans="1:10">
      <c r="A264" s="2">
        <v>261</v>
      </c>
      <c r="B264" s="3" t="s">
        <v>4960</v>
      </c>
      <c r="C264" s="4" t="s">
        <v>132</v>
      </c>
      <c r="D264" s="5" t="s">
        <v>4961</v>
      </c>
      <c r="E264" s="6" t="s">
        <v>12</v>
      </c>
      <c r="F264" s="4" t="s">
        <v>4200</v>
      </c>
      <c r="G264" s="7" t="s">
        <v>4280</v>
      </c>
      <c r="H264" s="8" t="s">
        <v>4962</v>
      </c>
      <c r="I264" s="9" t="s">
        <v>4963</v>
      </c>
      <c r="J264" s="21" t="s">
        <v>4964</v>
      </c>
    </row>
    <row r="265" spans="1:10">
      <c r="A265" s="2">
        <v>262</v>
      </c>
      <c r="B265" s="3" t="s">
        <v>4965</v>
      </c>
      <c r="C265" s="4" t="s">
        <v>3940</v>
      </c>
      <c r="D265" s="19" t="s">
        <v>4966</v>
      </c>
      <c r="E265" s="20" t="s">
        <v>12</v>
      </c>
      <c r="F265" s="12"/>
      <c r="G265" s="15"/>
      <c r="H265" s="17"/>
      <c r="I265" s="9"/>
      <c r="J265" s="9"/>
    </row>
    <row r="266" spans="1:10">
      <c r="A266" s="2">
        <v>263</v>
      </c>
      <c r="B266" s="3" t="s">
        <v>4967</v>
      </c>
      <c r="C266" s="4" t="s">
        <v>19</v>
      </c>
      <c r="D266" s="5" t="s">
        <v>4968</v>
      </c>
      <c r="E266" s="6" t="s">
        <v>12</v>
      </c>
      <c r="F266" s="4" t="s">
        <v>4025</v>
      </c>
      <c r="G266" s="7" t="s">
        <v>3998</v>
      </c>
      <c r="H266" s="8" t="s">
        <v>4969</v>
      </c>
      <c r="I266" s="9" t="s">
        <v>4970</v>
      </c>
      <c r="J266" s="21"/>
    </row>
    <row r="267" spans="1:10">
      <c r="A267" s="2">
        <v>264</v>
      </c>
      <c r="B267" s="11" t="s">
        <v>4971</v>
      </c>
      <c r="C267" s="12" t="s">
        <v>45</v>
      </c>
      <c r="D267" s="13" t="s">
        <v>4972</v>
      </c>
      <c r="E267" s="14" t="s">
        <v>12</v>
      </c>
      <c r="F267" s="12" t="s">
        <v>4109</v>
      </c>
      <c r="G267" s="15" t="s">
        <v>4237</v>
      </c>
      <c r="H267" s="17"/>
      <c r="I267" s="17"/>
      <c r="J267" s="18"/>
    </row>
    <row r="268" spans="1:10">
      <c r="A268" s="2">
        <v>265</v>
      </c>
      <c r="B268" s="3" t="s">
        <v>4973</v>
      </c>
      <c r="C268" s="4" t="s">
        <v>75</v>
      </c>
      <c r="D268" s="5" t="s">
        <v>4974</v>
      </c>
      <c r="E268" s="6" t="s">
        <v>12</v>
      </c>
      <c r="F268" s="4" t="s">
        <v>4048</v>
      </c>
      <c r="G268" s="7" t="s">
        <v>3985</v>
      </c>
      <c r="H268" s="8" t="s">
        <v>4975</v>
      </c>
      <c r="I268" s="9" t="s">
        <v>4653</v>
      </c>
      <c r="J268" s="21"/>
    </row>
    <row r="269" spans="1:10">
      <c r="A269" s="2">
        <v>266</v>
      </c>
      <c r="B269" s="3" t="s">
        <v>4976</v>
      </c>
      <c r="C269" s="4" t="s">
        <v>19</v>
      </c>
      <c r="D269" s="5" t="s">
        <v>4977</v>
      </c>
      <c r="E269" s="6" t="s">
        <v>9</v>
      </c>
      <c r="F269" s="4" t="s">
        <v>4144</v>
      </c>
      <c r="G269" s="7" t="s">
        <v>4978</v>
      </c>
      <c r="H269" s="8"/>
      <c r="I269" s="9" t="s">
        <v>4979</v>
      </c>
      <c r="J269" s="21" t="s">
        <v>4980</v>
      </c>
    </row>
    <row r="270" spans="1:10">
      <c r="A270" s="2">
        <v>267</v>
      </c>
      <c r="B270" s="3" t="s">
        <v>4981</v>
      </c>
      <c r="C270" s="4" t="s">
        <v>118</v>
      </c>
      <c r="D270" s="5" t="s">
        <v>4982</v>
      </c>
      <c r="E270" s="6" t="s">
        <v>12</v>
      </c>
      <c r="F270" s="4" t="s">
        <v>4274</v>
      </c>
      <c r="G270" s="7" t="s">
        <v>4120</v>
      </c>
      <c r="H270" s="8" t="s">
        <v>4983</v>
      </c>
      <c r="I270" s="9" t="s">
        <v>4984</v>
      </c>
      <c r="J270" s="21" t="s">
        <v>4985</v>
      </c>
    </row>
    <row r="271" spans="1:10">
      <c r="A271" s="2">
        <v>268</v>
      </c>
      <c r="B271" s="11" t="s">
        <v>4986</v>
      </c>
      <c r="C271" s="12" t="s">
        <v>96</v>
      </c>
      <c r="D271" s="13" t="s">
        <v>4987</v>
      </c>
      <c r="E271" s="14" t="s">
        <v>12</v>
      </c>
      <c r="F271" s="12" t="s">
        <v>4154</v>
      </c>
      <c r="G271" s="15" t="s">
        <v>3980</v>
      </c>
      <c r="H271" s="17"/>
      <c r="I271" s="17"/>
      <c r="J271" s="18"/>
    </row>
    <row r="272" spans="1:10">
      <c r="A272" s="2">
        <v>269</v>
      </c>
      <c r="B272" s="17" t="s">
        <v>4988</v>
      </c>
      <c r="C272" s="36" t="s">
        <v>41</v>
      </c>
      <c r="D272" s="18" t="s">
        <v>4989</v>
      </c>
      <c r="E272" s="37" t="s">
        <v>12</v>
      </c>
      <c r="F272" s="36" t="s">
        <v>4008</v>
      </c>
      <c r="G272" s="39" t="s">
        <v>4290</v>
      </c>
      <c r="H272" s="16" t="s">
        <v>4990</v>
      </c>
      <c r="I272" s="17" t="s">
        <v>4991</v>
      </c>
      <c r="J272" s="18"/>
    </row>
    <row r="273" spans="1:10">
      <c r="A273" s="2">
        <v>270</v>
      </c>
      <c r="B273" s="9" t="s">
        <v>4992</v>
      </c>
      <c r="C273" s="26" t="s">
        <v>144</v>
      </c>
      <c r="D273" s="18" t="s">
        <v>4993</v>
      </c>
      <c r="E273" s="27" t="s">
        <v>12</v>
      </c>
      <c r="F273" s="36" t="s">
        <v>4363</v>
      </c>
      <c r="G273" s="39" t="s">
        <v>4022</v>
      </c>
      <c r="H273" s="16"/>
      <c r="I273" s="9"/>
      <c r="J273" s="21"/>
    </row>
    <row r="274" spans="1:10">
      <c r="A274" s="2">
        <v>271</v>
      </c>
      <c r="B274" s="9" t="s">
        <v>4994</v>
      </c>
      <c r="C274" s="26" t="s">
        <v>45</v>
      </c>
      <c r="D274" s="21" t="s">
        <v>4995</v>
      </c>
      <c r="E274" s="27" t="s">
        <v>12</v>
      </c>
      <c r="F274" s="26" t="s">
        <v>4008</v>
      </c>
      <c r="G274" s="28" t="s">
        <v>3945</v>
      </c>
      <c r="H274" s="8" t="s">
        <v>4996</v>
      </c>
      <c r="I274" s="9" t="s">
        <v>4997</v>
      </c>
      <c r="J274" s="21" t="s">
        <v>4998</v>
      </c>
    </row>
    <row r="275" spans="1:10">
      <c r="A275" s="2">
        <v>272</v>
      </c>
      <c r="B275" s="17" t="s">
        <v>4999</v>
      </c>
      <c r="C275" s="36" t="s">
        <v>38</v>
      </c>
      <c r="D275" s="18" t="s">
        <v>5000</v>
      </c>
      <c r="E275" s="37" t="s">
        <v>12</v>
      </c>
      <c r="F275" s="36" t="s">
        <v>4025</v>
      </c>
      <c r="G275" s="39" t="s">
        <v>4161</v>
      </c>
      <c r="H275" s="17"/>
      <c r="I275" s="17"/>
      <c r="J275" s="18"/>
    </row>
    <row r="276" spans="1:10">
      <c r="A276" s="2">
        <v>273</v>
      </c>
      <c r="B276" s="9" t="s">
        <v>5001</v>
      </c>
      <c r="C276" s="26" t="s">
        <v>96</v>
      </c>
      <c r="D276" s="21" t="s">
        <v>5002</v>
      </c>
      <c r="E276" s="27" t="s">
        <v>12</v>
      </c>
      <c r="F276" s="26" t="s">
        <v>3979</v>
      </c>
      <c r="G276" s="28" t="s">
        <v>4120</v>
      </c>
      <c r="H276" s="8" t="s">
        <v>5003</v>
      </c>
      <c r="I276" s="9"/>
      <c r="J276" s="21"/>
    </row>
    <row r="277" spans="1:10">
      <c r="A277" s="2">
        <v>274</v>
      </c>
      <c r="B277" s="17" t="s">
        <v>5004</v>
      </c>
      <c r="C277" s="36" t="s">
        <v>2768</v>
      </c>
      <c r="D277" s="18" t="s">
        <v>5005</v>
      </c>
      <c r="E277" s="37" t="s">
        <v>12</v>
      </c>
      <c r="F277" s="36" t="s">
        <v>4031</v>
      </c>
      <c r="G277" s="39" t="s">
        <v>4032</v>
      </c>
      <c r="H277" s="16" t="s">
        <v>5006</v>
      </c>
      <c r="I277" s="17" t="s">
        <v>5007</v>
      </c>
      <c r="J277" s="18" t="s">
        <v>5008</v>
      </c>
    </row>
    <row r="278" spans="1:10">
      <c r="A278" s="2">
        <v>275</v>
      </c>
      <c r="B278" s="9" t="s">
        <v>5009</v>
      </c>
      <c r="C278" s="26" t="s">
        <v>21</v>
      </c>
      <c r="D278" s="21" t="s">
        <v>5010</v>
      </c>
      <c r="E278" s="27" t="s">
        <v>12</v>
      </c>
      <c r="F278" s="26" t="s">
        <v>3979</v>
      </c>
      <c r="G278" s="28" t="s">
        <v>3917</v>
      </c>
      <c r="H278" s="8" t="s">
        <v>5011</v>
      </c>
      <c r="I278" s="9"/>
      <c r="J278" s="21" t="s">
        <v>5012</v>
      </c>
    </row>
    <row r="279" spans="1:10">
      <c r="A279" s="2">
        <v>276</v>
      </c>
      <c r="B279" s="17" t="s">
        <v>5013</v>
      </c>
      <c r="C279" s="36" t="s">
        <v>218</v>
      </c>
      <c r="D279" s="18" t="s">
        <v>5014</v>
      </c>
      <c r="E279" s="37" t="s">
        <v>9</v>
      </c>
      <c r="F279" s="36" t="s">
        <v>3979</v>
      </c>
      <c r="G279" s="36" t="s">
        <v>3902</v>
      </c>
      <c r="H279" s="16" t="s">
        <v>5015</v>
      </c>
      <c r="I279" s="17" t="s">
        <v>5016</v>
      </c>
      <c r="J279" s="18" t="s">
        <v>5017</v>
      </c>
    </row>
    <row r="280" spans="1:10">
      <c r="A280" s="2">
        <v>277</v>
      </c>
      <c r="B280" s="9" t="s">
        <v>5018</v>
      </c>
      <c r="C280" s="26" t="s">
        <v>3940</v>
      </c>
      <c r="D280" s="40" t="s">
        <v>5019</v>
      </c>
      <c r="E280" s="41" t="s">
        <v>9</v>
      </c>
      <c r="F280" s="36"/>
      <c r="G280" s="36"/>
      <c r="H280" s="17"/>
      <c r="I280" s="9"/>
      <c r="J280" s="9"/>
    </row>
    <row r="281" spans="1:10">
      <c r="A281" s="2">
        <v>278</v>
      </c>
      <c r="B281" s="9" t="s">
        <v>5020</v>
      </c>
      <c r="C281" s="26" t="s">
        <v>14</v>
      </c>
      <c r="D281" s="21" t="s">
        <v>5021</v>
      </c>
      <c r="E281" s="27" t="s">
        <v>12</v>
      </c>
      <c r="F281" s="26" t="s">
        <v>3956</v>
      </c>
      <c r="G281" s="26" t="s">
        <v>3985</v>
      </c>
      <c r="H281" s="8" t="s">
        <v>5022</v>
      </c>
      <c r="I281" s="9" t="s">
        <v>5023</v>
      </c>
      <c r="J281" s="21"/>
    </row>
    <row r="282" spans="1:10">
      <c r="A282" s="2">
        <v>279</v>
      </c>
      <c r="B282" s="17" t="s">
        <v>5024</v>
      </c>
      <c r="C282" s="36" t="s">
        <v>138</v>
      </c>
      <c r="D282" s="18" t="s">
        <v>5025</v>
      </c>
      <c r="E282" s="37" t="s">
        <v>9</v>
      </c>
      <c r="F282" s="36" t="s">
        <v>4181</v>
      </c>
      <c r="G282" s="36" t="s">
        <v>4155</v>
      </c>
      <c r="H282" s="16" t="s">
        <v>5026</v>
      </c>
      <c r="I282" s="17" t="s">
        <v>5027</v>
      </c>
      <c r="J282" s="18" t="s">
        <v>5028</v>
      </c>
    </row>
    <row r="283" spans="1:10">
      <c r="A283" s="2">
        <v>280</v>
      </c>
      <c r="B283" s="9" t="s">
        <v>5029</v>
      </c>
      <c r="C283" s="26" t="s">
        <v>49</v>
      </c>
      <c r="D283" s="21" t="s">
        <v>5030</v>
      </c>
      <c r="E283" s="27" t="s">
        <v>12</v>
      </c>
      <c r="F283" s="26" t="s">
        <v>4016</v>
      </c>
      <c r="G283" s="26" t="s">
        <v>4290</v>
      </c>
      <c r="H283" s="8" t="s">
        <v>5031</v>
      </c>
      <c r="I283" s="9" t="s">
        <v>5032</v>
      </c>
      <c r="J283" s="21"/>
    </row>
    <row r="284" spans="1:10">
      <c r="A284" s="2">
        <v>281</v>
      </c>
      <c r="B284" s="17" t="s">
        <v>5033</v>
      </c>
      <c r="C284" s="36" t="s">
        <v>118</v>
      </c>
      <c r="D284" s="18" t="s">
        <v>5034</v>
      </c>
      <c r="E284" s="37" t="s">
        <v>12</v>
      </c>
      <c r="F284" s="36" t="s">
        <v>4038</v>
      </c>
      <c r="G284" s="36" t="s">
        <v>4059</v>
      </c>
      <c r="H284" s="16" t="s">
        <v>5035</v>
      </c>
      <c r="I284" s="17" t="s">
        <v>5036</v>
      </c>
      <c r="J284" s="18" t="s">
        <v>5037</v>
      </c>
    </row>
    <row r="285" spans="1:10">
      <c r="A285" s="2">
        <v>282</v>
      </c>
      <c r="B285" s="9" t="s">
        <v>5038</v>
      </c>
      <c r="C285" s="26" t="s">
        <v>29</v>
      </c>
      <c r="D285" s="18" t="s">
        <v>5039</v>
      </c>
      <c r="E285" s="27" t="s">
        <v>9</v>
      </c>
      <c r="F285" s="36" t="s">
        <v>3944</v>
      </c>
      <c r="G285" s="36" t="s">
        <v>3902</v>
      </c>
      <c r="H285" s="16" t="s">
        <v>5040</v>
      </c>
      <c r="I285" s="9" t="s">
        <v>4380</v>
      </c>
      <c r="J285" s="21"/>
    </row>
    <row r="286" spans="1:10">
      <c r="A286" s="2">
        <v>283</v>
      </c>
      <c r="B286" s="17" t="s">
        <v>5041</v>
      </c>
      <c r="C286" s="36" t="s">
        <v>144</v>
      </c>
      <c r="D286" s="18" t="s">
        <v>5042</v>
      </c>
      <c r="E286" s="37" t="s">
        <v>12</v>
      </c>
      <c r="F286" s="36" t="s">
        <v>4016</v>
      </c>
      <c r="G286" s="36" t="s">
        <v>4280</v>
      </c>
      <c r="H286" s="16" t="s">
        <v>5043</v>
      </c>
      <c r="I286" s="9" t="s">
        <v>5044</v>
      </c>
      <c r="J286" s="21"/>
    </row>
    <row r="287" spans="1:10">
      <c r="A287" s="2">
        <v>284</v>
      </c>
      <c r="B287" s="17" t="s">
        <v>5045</v>
      </c>
      <c r="C287" s="36" t="s">
        <v>23</v>
      </c>
      <c r="D287" s="18" t="s">
        <v>5046</v>
      </c>
      <c r="E287" s="37" t="s">
        <v>12</v>
      </c>
      <c r="F287" s="36" t="s">
        <v>4200</v>
      </c>
      <c r="G287" s="36" t="s">
        <v>4022</v>
      </c>
      <c r="H287" s="17"/>
      <c r="I287" s="17"/>
      <c r="J287" s="18"/>
    </row>
    <row r="288" spans="1:10">
      <c r="A288" s="2">
        <v>285</v>
      </c>
      <c r="B288" s="9" t="s">
        <v>5047</v>
      </c>
      <c r="C288" s="26" t="s">
        <v>218</v>
      </c>
      <c r="D288" s="21" t="s">
        <v>5048</v>
      </c>
      <c r="E288" s="27" t="s">
        <v>9</v>
      </c>
      <c r="F288" s="26" t="s">
        <v>4038</v>
      </c>
      <c r="G288" s="26" t="s">
        <v>4049</v>
      </c>
      <c r="H288" s="8" t="s">
        <v>5049</v>
      </c>
      <c r="I288" s="9" t="s">
        <v>5050</v>
      </c>
      <c r="J288" s="21" t="s">
        <v>5051</v>
      </c>
    </row>
    <row r="289" spans="1:10">
      <c r="A289" s="2">
        <v>286</v>
      </c>
      <c r="B289" s="9" t="s">
        <v>5052</v>
      </c>
      <c r="C289" s="26" t="s">
        <v>41</v>
      </c>
      <c r="D289" s="21" t="s">
        <v>5053</v>
      </c>
      <c r="E289" s="27" t="s">
        <v>12</v>
      </c>
      <c r="F289" s="26" t="s">
        <v>4008</v>
      </c>
      <c r="G289" s="26" t="s">
        <v>3924</v>
      </c>
      <c r="H289" s="8" t="s">
        <v>5054</v>
      </c>
      <c r="I289" s="9" t="s">
        <v>5055</v>
      </c>
      <c r="J289" s="21"/>
    </row>
    <row r="290" spans="1:10">
      <c r="A290" s="2">
        <v>287</v>
      </c>
      <c r="B290" s="9" t="s">
        <v>5056</v>
      </c>
      <c r="C290" s="26" t="s">
        <v>207</v>
      </c>
      <c r="D290" s="21" t="s">
        <v>5057</v>
      </c>
      <c r="E290" s="27" t="s">
        <v>12</v>
      </c>
      <c r="F290" s="26" t="s">
        <v>4048</v>
      </c>
      <c r="G290" s="26" t="s">
        <v>3985</v>
      </c>
      <c r="H290" s="8" t="s">
        <v>5058</v>
      </c>
      <c r="I290" s="9" t="s">
        <v>5059</v>
      </c>
      <c r="J290" s="21"/>
    </row>
    <row r="291" spans="1:10">
      <c r="A291" s="2">
        <v>288</v>
      </c>
      <c r="B291" s="9" t="s">
        <v>5060</v>
      </c>
      <c r="C291" s="26" t="s">
        <v>33</v>
      </c>
      <c r="D291" s="21" t="s">
        <v>5061</v>
      </c>
      <c r="E291" s="27" t="s">
        <v>12</v>
      </c>
      <c r="F291" s="26" t="s">
        <v>4154</v>
      </c>
      <c r="G291" s="26" t="s">
        <v>3998</v>
      </c>
      <c r="H291" s="8" t="s">
        <v>5062</v>
      </c>
      <c r="I291" s="9" t="s">
        <v>4135</v>
      </c>
      <c r="J291" s="21"/>
    </row>
    <row r="292" spans="1:10">
      <c r="A292" s="2">
        <v>289</v>
      </c>
      <c r="B292" s="9" t="s">
        <v>5063</v>
      </c>
      <c r="C292" s="26" t="s">
        <v>162</v>
      </c>
      <c r="D292" s="21" t="s">
        <v>5064</v>
      </c>
      <c r="E292" s="27" t="s">
        <v>12</v>
      </c>
      <c r="F292" s="26"/>
      <c r="G292" s="26"/>
      <c r="H292" s="8" t="s">
        <v>5065</v>
      </c>
      <c r="I292" s="9"/>
      <c r="J292" s="21"/>
    </row>
    <row r="293" spans="1:10">
      <c r="A293" s="2">
        <v>290</v>
      </c>
      <c r="B293" s="9" t="s">
        <v>5066</v>
      </c>
      <c r="C293" s="26" t="s">
        <v>45</v>
      </c>
      <c r="D293" s="21" t="s">
        <v>5067</v>
      </c>
      <c r="E293" s="27" t="s">
        <v>12</v>
      </c>
      <c r="F293" s="26" t="s">
        <v>3911</v>
      </c>
      <c r="G293" s="26" t="s">
        <v>4290</v>
      </c>
      <c r="H293" s="8" t="s">
        <v>5068</v>
      </c>
      <c r="I293" s="9" t="s">
        <v>5069</v>
      </c>
      <c r="J293" s="21" t="s">
        <v>5070</v>
      </c>
    </row>
    <row r="294" spans="1:10">
      <c r="A294" s="2">
        <v>291</v>
      </c>
      <c r="B294" s="17" t="s">
        <v>5071</v>
      </c>
      <c r="C294" s="36" t="s">
        <v>21</v>
      </c>
      <c r="D294" s="18" t="s">
        <v>5072</v>
      </c>
      <c r="E294" s="37" t="s">
        <v>12</v>
      </c>
      <c r="F294" s="36" t="s">
        <v>4274</v>
      </c>
      <c r="G294" s="36" t="s">
        <v>3963</v>
      </c>
      <c r="H294" s="17"/>
      <c r="I294" s="17"/>
      <c r="J294" s="18"/>
    </row>
    <row r="295" spans="1:10">
      <c r="A295" s="2">
        <v>292</v>
      </c>
      <c r="B295" s="9" t="s">
        <v>5073</v>
      </c>
      <c r="C295" s="26" t="s">
        <v>207</v>
      </c>
      <c r="D295" s="21" t="s">
        <v>5074</v>
      </c>
      <c r="E295" s="27" t="s">
        <v>12</v>
      </c>
      <c r="F295" s="26" t="s">
        <v>3994</v>
      </c>
      <c r="G295" s="26" t="s">
        <v>4032</v>
      </c>
      <c r="H295" s="8" t="s">
        <v>5075</v>
      </c>
      <c r="I295" s="9" t="s">
        <v>5076</v>
      </c>
      <c r="J295" s="21"/>
    </row>
    <row r="296" spans="1:10">
      <c r="A296" s="2">
        <v>293</v>
      </c>
      <c r="B296" s="9" t="s">
        <v>5077</v>
      </c>
      <c r="C296" s="26" t="s">
        <v>14</v>
      </c>
      <c r="D296" s="18" t="s">
        <v>4446</v>
      </c>
      <c r="E296" s="27" t="s">
        <v>12</v>
      </c>
      <c r="F296" s="36"/>
      <c r="G296" s="36"/>
      <c r="H296" s="16" t="s">
        <v>5078</v>
      </c>
      <c r="I296" s="17" t="s">
        <v>4448</v>
      </c>
      <c r="J296" s="18"/>
    </row>
    <row r="297" spans="1:10">
      <c r="A297" s="2">
        <v>294</v>
      </c>
      <c r="B297" s="9" t="s">
        <v>5079</v>
      </c>
      <c r="C297" s="26" t="s">
        <v>144</v>
      </c>
      <c r="D297" s="18" t="s">
        <v>5080</v>
      </c>
      <c r="E297" s="27" t="s">
        <v>12</v>
      </c>
      <c r="F297" s="36" t="s">
        <v>4200</v>
      </c>
      <c r="G297" s="36" t="s">
        <v>3957</v>
      </c>
      <c r="H297" s="16" t="s">
        <v>5081</v>
      </c>
      <c r="I297" s="9"/>
      <c r="J297" s="21" t="s">
        <v>5082</v>
      </c>
    </row>
    <row r="298" spans="1:10">
      <c r="A298" s="2">
        <v>295</v>
      </c>
      <c r="B298" s="9" t="s">
        <v>5083</v>
      </c>
      <c r="C298" s="26" t="s">
        <v>1962</v>
      </c>
      <c r="D298" s="18" t="s">
        <v>5084</v>
      </c>
      <c r="E298" s="17"/>
      <c r="F298" s="36"/>
      <c r="G298" s="36"/>
      <c r="H298" s="16" t="s">
        <v>5085</v>
      </c>
      <c r="I298" s="9" t="s">
        <v>5086</v>
      </c>
      <c r="J298" s="21"/>
    </row>
  </sheetData>
  <mergeCells count="1">
    <mergeCell ref="C1:H2"/>
  </mergeCells>
  <hyperlinks>
    <hyperlink ref="H4" r:id="rId1"/>
    <hyperlink ref="H126" r:id="rId2"/>
    <hyperlink ref="H183" r:id="rId3"/>
    <hyperlink ref="H109" r:id="rId4"/>
    <hyperlink ref="H13" r:id="rId5"/>
    <hyperlink ref="H205" r:id="rId6"/>
    <hyperlink ref="H146" r:id="rId7"/>
    <hyperlink ref="H217" r:id="rId8"/>
    <hyperlink ref="H241" r:id="rId9"/>
    <hyperlink ref="H278" r:id="rId10"/>
    <hyperlink ref="H130" r:id="rId11"/>
    <hyperlink ref="H54" r:id="rId12"/>
    <hyperlink ref="H97" r:id="rId13"/>
    <hyperlink ref="H36" r:id="rId14"/>
    <hyperlink ref="H229" r:id="rId15"/>
    <hyperlink ref="H206" r:id="rId16"/>
    <hyperlink ref="H266" r:id="rId17"/>
    <hyperlink ref="H293" r:id="rId18"/>
    <hyperlink ref="H159" r:id="rId19"/>
    <hyperlink ref="H214" r:id="rId20"/>
    <hyperlink ref="H65" r:id="rId21"/>
    <hyperlink ref="H297" r:id="rId22"/>
    <hyperlink ref="H236" r:id="rId23"/>
    <hyperlink ref="H66" r:id="rId24"/>
    <hyperlink ref="H223" r:id="rId25"/>
    <hyperlink ref="H212" r:id="rId26"/>
    <hyperlink ref="H67" r:id="rId27"/>
    <hyperlink ref="H20" r:id="rId28"/>
    <hyperlink ref="H177" r:id="rId29"/>
    <hyperlink ref="H46" r:id="rId30"/>
    <hyperlink ref="H56" r:id="rId31"/>
    <hyperlink ref="H291" r:id="rId32"/>
    <hyperlink ref="H201" r:id="rId33"/>
    <hyperlink ref="H113" r:id="rId34"/>
    <hyperlink ref="H264" r:id="rId35"/>
    <hyperlink ref="H88" r:id="rId36"/>
    <hyperlink ref="H156" r:id="rId37"/>
    <hyperlink ref="H171" r:id="rId38"/>
    <hyperlink ref="H277" r:id="rId39"/>
    <hyperlink ref="H256" r:id="rId40"/>
    <hyperlink ref="H104" r:id="rId41"/>
    <hyperlink ref="H209" r:id="rId42"/>
    <hyperlink ref="H111" r:id="rId43"/>
    <hyperlink ref="H158" r:id="rId44"/>
    <hyperlink ref="H261" r:id="rId45"/>
    <hyperlink ref="H198" r:id="rId46"/>
    <hyperlink ref="H285" r:id="rId47"/>
    <hyperlink ref="H148" r:id="rId48"/>
    <hyperlink ref="H51" r:id="rId49"/>
    <hyperlink ref="H208" r:id="rId50"/>
    <hyperlink ref="H76" r:id="rId51"/>
    <hyperlink ref="H38" r:id="rId52"/>
    <hyperlink ref="H279" r:id="rId53"/>
    <hyperlink ref="H289" r:id="rId54"/>
    <hyperlink ref="H122" r:id="rId55"/>
    <hyperlink ref="H176" r:id="rId56"/>
    <hyperlink ref="H83" r:id="rId57"/>
    <hyperlink ref="H26" r:id="rId58"/>
    <hyperlink ref="H17" r:id="rId59"/>
    <hyperlink ref="H82" r:id="rId60"/>
    <hyperlink ref="H237" r:id="rId61"/>
    <hyperlink ref="H106" r:id="rId62"/>
    <hyperlink ref="H274" r:id="rId63"/>
    <hyperlink ref="H259" r:id="rId64"/>
    <hyperlink ref="H43" r:id="rId65"/>
    <hyperlink ref="H69" r:id="rId66"/>
    <hyperlink ref="H242" r:id="rId67"/>
    <hyperlink ref="H197" r:id="rId68"/>
    <hyperlink ref="H160" r:id="rId69"/>
    <hyperlink ref="H99" r:id="rId70"/>
    <hyperlink ref="H108" r:id="rId71"/>
    <hyperlink ref="H105" r:id="rId72"/>
    <hyperlink ref="H151" r:id="rId73"/>
    <hyperlink ref="H231" r:id="rId74"/>
    <hyperlink ref="H227" r:id="rId75"/>
    <hyperlink ref="H45" r:id="rId76"/>
    <hyperlink ref="H298" r:id="rId77"/>
    <hyperlink ref="H71" r:id="rId78"/>
    <hyperlink ref="H247" r:id="rId79"/>
    <hyperlink ref="H75" r:id="rId80"/>
    <hyperlink ref="H18" r:id="rId81"/>
    <hyperlink ref="H107" r:id="rId82"/>
    <hyperlink ref="H19" r:id="rId83"/>
    <hyperlink ref="H115" r:id="rId84"/>
    <hyperlink ref="H239" r:id="rId85"/>
    <hyperlink ref="H68" r:id="rId86"/>
    <hyperlink ref="H127" r:id="rId87"/>
    <hyperlink ref="H23" r:id="rId88"/>
    <hyperlink ref="H132" r:id="rId89"/>
    <hyperlink ref="H25" r:id="rId90"/>
    <hyperlink ref="H276" r:id="rId91"/>
    <hyperlink ref="H11" r:id="rId92"/>
    <hyperlink ref="H47" r:id="rId93"/>
    <hyperlink ref="H228" r:id="rId94"/>
    <hyperlink ref="H168" r:id="rId95"/>
    <hyperlink ref="H235" r:id="rId96"/>
    <hyperlink ref="H169" r:id="rId97"/>
    <hyperlink ref="H63" r:id="rId98"/>
    <hyperlink ref="H167" r:id="rId99"/>
    <hyperlink ref="H255" r:id="rId100"/>
    <hyperlink ref="H94" r:id="rId101"/>
    <hyperlink ref="H57" r:id="rId102"/>
    <hyperlink ref="H138" r:id="rId103"/>
    <hyperlink ref="H87" r:id="rId104"/>
    <hyperlink ref="H166" r:id="rId105"/>
    <hyperlink ref="H144" r:id="rId106"/>
    <hyperlink ref="H50" r:id="rId107"/>
    <hyperlink ref="H35" r:id="rId108"/>
    <hyperlink ref="H64" r:id="rId109"/>
    <hyperlink ref="H137" r:id="rId110"/>
    <hyperlink ref="H164" r:id="rId111"/>
    <hyperlink ref="H270" r:id="rId112"/>
    <hyperlink ref="H86" r:id="rId113"/>
    <hyperlink ref="H89" r:id="rId114"/>
    <hyperlink ref="H207" r:id="rId115"/>
    <hyperlink ref="H196" r:id="rId116"/>
    <hyperlink ref="H215" r:id="rId117"/>
    <hyperlink ref="H78" r:id="rId118"/>
    <hyperlink ref="H173" r:id="rId119"/>
    <hyperlink ref="H14" r:id="rId120"/>
    <hyperlink ref="H134" r:id="rId121"/>
    <hyperlink ref="H163" r:id="rId122"/>
    <hyperlink ref="H292" r:id="rId123"/>
    <hyperlink ref="H42" r:id="rId124"/>
    <hyperlink ref="H281" r:id="rId125"/>
    <hyperlink ref="H224" r:id="rId126"/>
    <hyperlink ref="H246" r:id="rId127"/>
    <hyperlink ref="H31" r:id="rId128"/>
    <hyperlink ref="H5" r:id="rId129"/>
    <hyperlink ref="H141" r:id="rId130"/>
    <hyperlink ref="H98" r:id="rId131"/>
    <hyperlink ref="H199" r:id="rId132"/>
    <hyperlink ref="H175" r:id="rId133"/>
    <hyperlink ref="H103" r:id="rId134"/>
    <hyperlink ref="H234" r:id="rId135"/>
    <hyperlink ref="H22" r:id="rId136"/>
    <hyperlink ref="H39" r:id="rId137"/>
    <hyperlink ref="H15" r:id="rId138"/>
    <hyperlink ref="H81" r:id="rId139"/>
    <hyperlink ref="H149" r:id="rId140"/>
    <hyperlink ref="H12" r:id="rId141"/>
    <hyperlink ref="H286" r:id="rId142"/>
    <hyperlink ref="H179" r:id="rId143"/>
    <hyperlink ref="H92" r:id="rId144"/>
    <hyperlink ref="H295" r:id="rId145"/>
    <hyperlink ref="H254" r:id="rId146"/>
    <hyperlink ref="H211" r:id="rId147"/>
    <hyperlink ref="H230" r:id="rId148"/>
    <hyperlink ref="H260" r:id="rId149"/>
    <hyperlink ref="H181" r:id="rId150"/>
    <hyperlink ref="H121" r:id="rId151"/>
    <hyperlink ref="H41" r:id="rId152"/>
    <hyperlink ref="H100" r:id="rId153"/>
    <hyperlink ref="H161" r:id="rId154"/>
    <hyperlink ref="H251" r:id="rId155"/>
    <hyperlink ref="H263" r:id="rId156"/>
    <hyperlink ref="H162" r:id="rId157"/>
    <hyperlink ref="H190" r:id="rId158"/>
    <hyperlink ref="H133" r:id="rId159"/>
    <hyperlink ref="H60" r:id="rId160"/>
    <hyperlink ref="H154" r:id="rId161"/>
    <hyperlink ref="H195" r:id="rId162"/>
    <hyperlink ref="H96" r:id="rId163"/>
    <hyperlink ref="H283" r:id="rId164"/>
    <hyperlink ref="H238" r:id="rId165"/>
    <hyperlink ref="H123" r:id="rId166"/>
    <hyperlink ref="H6" r:id="rId167"/>
    <hyperlink ref="H222" r:id="rId168"/>
    <hyperlink ref="H9" r:id="rId169"/>
    <hyperlink ref="H194" r:id="rId170"/>
    <hyperlink ref="H131" r:id="rId171"/>
    <hyperlink ref="H102" r:id="rId172"/>
    <hyperlink ref="H240" r:id="rId173"/>
    <hyperlink ref="H49" r:id="rId174"/>
    <hyperlink ref="H233" r:id="rId175"/>
    <hyperlink ref="H253" r:id="rId176"/>
    <hyperlink ref="H248" r:id="rId177"/>
    <hyperlink ref="H288" r:id="rId178"/>
    <hyperlink ref="H152" r:id="rId179"/>
    <hyperlink ref="H268" r:id="rId180"/>
    <hyperlink ref="H33" r:id="rId181"/>
    <hyperlink ref="H117" r:id="rId182"/>
    <hyperlink ref="H284" r:id="rId183"/>
    <hyperlink ref="H140" r:id="rId184"/>
    <hyperlink ref="H79" r:id="rId185"/>
    <hyperlink ref="H218" r:id="rId186"/>
    <hyperlink ref="H80" r:id="rId187"/>
    <hyperlink ref="H29" r:id="rId188"/>
    <hyperlink ref="H244" r:id="rId189"/>
    <hyperlink ref="H185" r:id="rId190"/>
    <hyperlink ref="H147" r:id="rId191"/>
    <hyperlink ref="H210" r:id="rId192"/>
    <hyperlink ref="H282" r:id="rId193"/>
    <hyperlink ref="H139" r:id="rId194"/>
    <hyperlink ref="H178" r:id="rId195"/>
    <hyperlink ref="H34" r:id="rId196"/>
    <hyperlink ref="H220" r:id="rId197"/>
    <hyperlink ref="H290" r:id="rId198"/>
    <hyperlink ref="H174" r:id="rId199"/>
    <hyperlink ref="H204" r:id="rId200"/>
    <hyperlink ref="H202" r:id="rId201"/>
    <hyperlink ref="H28" r:id="rId202"/>
    <hyperlink ref="H72" r:id="rId203"/>
    <hyperlink ref="H187" r:id="rId204"/>
    <hyperlink ref="H272" r:id="rId205"/>
    <hyperlink ref="H77" r:id="rId206"/>
    <hyperlink ref="H252" r:id="rId207"/>
    <hyperlink ref="H91" r:id="rId208"/>
    <hyperlink ref="H192" r:id="rId209"/>
    <hyperlink ref="H184" r:id="rId210"/>
    <hyperlink ref="H55" r:id="rId211"/>
    <hyperlink ref="H296" r:id="rId212"/>
    <hyperlink ref="H189" r:id="rId213"/>
    <hyperlink ref="H225" r:id="rId214"/>
    <hyperlink ref="H58" r:id="rId215"/>
    <hyperlink ref="H170" r:id="rId216"/>
    <hyperlink ref="H48" r:id="rId217"/>
    <hyperlink ref="H119" r:id="rId218"/>
    <hyperlink ref="H74" r:id="rId219"/>
    <hyperlink ref="H44" r:id="rId220"/>
    <hyperlink ref="H200" r:id="rId2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187"/>
  <sheetViews>
    <sheetView topLeftCell="D22" workbookViewId="0">
      <selection activeCell="B187" sqref="B187"/>
    </sheetView>
  </sheetViews>
  <sheetFormatPr defaultColWidth="9" defaultRowHeight="15"/>
  <cols>
    <col min="1" max="2" width="10" customWidth="1"/>
    <col min="3" max="3" width="31" customWidth="1"/>
    <col min="4" max="4" width="17.42578125" customWidth="1"/>
    <col min="5" max="6" width="10"/>
    <col min="7" max="7" width="14.28515625" customWidth="1"/>
    <col min="8" max="256" width="10" customWidth="1"/>
  </cols>
  <sheetData>
    <row r="2" spans="2:7" ht="15.75">
      <c r="C2" s="42"/>
      <c r="D2" s="43"/>
      <c r="F2" s="44" t="s">
        <v>0</v>
      </c>
      <c r="G2" s="42"/>
    </row>
    <row r="3" spans="2:7" ht="15.75">
      <c r="C3" s="42"/>
      <c r="D3" s="43"/>
      <c r="F3" s="44" t="s">
        <v>1</v>
      </c>
      <c r="G3" s="42"/>
    </row>
    <row r="4" spans="2:7" ht="15.75">
      <c r="C4" s="42"/>
      <c r="D4" s="45"/>
      <c r="F4" s="46" t="s">
        <v>2</v>
      </c>
      <c r="G4" s="42"/>
    </row>
    <row r="6" spans="2:7" ht="15.75">
      <c r="F6" s="47" t="s">
        <v>3621</v>
      </c>
    </row>
    <row r="7" spans="2:7" ht="34.5">
      <c r="F7" s="47" t="s">
        <v>3622</v>
      </c>
    </row>
    <row r="11" spans="2:7">
      <c r="B11" s="48" t="s">
        <v>3623</v>
      </c>
      <c r="C11" s="49" t="s">
        <v>4</v>
      </c>
      <c r="D11" s="48" t="s">
        <v>3624</v>
      </c>
      <c r="E11" s="49" t="s">
        <v>1465</v>
      </c>
      <c r="F11" s="49" t="s">
        <v>2427</v>
      </c>
      <c r="G11" s="49" t="s">
        <v>3625</v>
      </c>
    </row>
    <row r="12" spans="2:7">
      <c r="B12" s="50">
        <v>1</v>
      </c>
      <c r="C12" s="51" t="s">
        <v>3626</v>
      </c>
      <c r="D12" s="51">
        <v>7067837014</v>
      </c>
      <c r="E12" s="51" t="s">
        <v>218</v>
      </c>
      <c r="F12" s="51" t="s">
        <v>561</v>
      </c>
      <c r="G12" s="51" t="s">
        <v>3617</v>
      </c>
    </row>
    <row r="13" spans="2:7">
      <c r="B13" s="50">
        <v>2</v>
      </c>
      <c r="C13" s="51" t="s">
        <v>3619</v>
      </c>
      <c r="D13" s="51">
        <v>8034738357</v>
      </c>
      <c r="E13" s="51" t="s">
        <v>218</v>
      </c>
      <c r="F13" s="51" t="s">
        <v>561</v>
      </c>
      <c r="G13" s="51" t="s">
        <v>3618</v>
      </c>
    </row>
    <row r="14" spans="2:7">
      <c r="B14" s="50">
        <v>3</v>
      </c>
      <c r="C14" s="51" t="s">
        <v>3627</v>
      </c>
      <c r="D14" s="51">
        <v>8101107993</v>
      </c>
      <c r="E14" s="51" t="s">
        <v>138</v>
      </c>
      <c r="F14" s="51" t="s">
        <v>561</v>
      </c>
      <c r="G14" s="52" t="s">
        <v>3620</v>
      </c>
    </row>
    <row r="15" spans="2:7">
      <c r="B15" s="50">
        <v>4</v>
      </c>
      <c r="C15" s="51" t="s">
        <v>3628</v>
      </c>
      <c r="D15" s="51">
        <v>8064128443</v>
      </c>
      <c r="E15" s="51" t="s">
        <v>218</v>
      </c>
      <c r="F15" s="51" t="s">
        <v>561</v>
      </c>
      <c r="G15" s="51" t="s">
        <v>3629</v>
      </c>
    </row>
    <row r="16" spans="2:7">
      <c r="B16" s="50">
        <v>5</v>
      </c>
      <c r="C16" s="51" t="s">
        <v>3630</v>
      </c>
      <c r="D16" s="51">
        <v>8167144636</v>
      </c>
      <c r="E16" s="51" t="s">
        <v>2120</v>
      </c>
      <c r="F16" s="51" t="s">
        <v>561</v>
      </c>
      <c r="G16" s="51" t="s">
        <v>3631</v>
      </c>
    </row>
    <row r="17" spans="2:7">
      <c r="B17" s="50">
        <v>6</v>
      </c>
      <c r="C17" s="51" t="s">
        <v>3632</v>
      </c>
      <c r="D17" s="51">
        <v>8160881677</v>
      </c>
      <c r="E17" s="51" t="s">
        <v>218</v>
      </c>
      <c r="F17" s="51" t="s">
        <v>568</v>
      </c>
      <c r="G17" s="51" t="s">
        <v>3633</v>
      </c>
    </row>
    <row r="18" spans="2:7">
      <c r="B18" s="50">
        <v>7</v>
      </c>
      <c r="C18" s="51" t="s">
        <v>3634</v>
      </c>
      <c r="D18" s="51">
        <v>8101346534</v>
      </c>
      <c r="E18" s="51" t="s">
        <v>1962</v>
      </c>
      <c r="F18" s="51" t="s">
        <v>568</v>
      </c>
      <c r="G18" s="51" t="s">
        <v>3635</v>
      </c>
    </row>
    <row r="19" spans="2:7">
      <c r="B19" s="50">
        <v>8</v>
      </c>
      <c r="C19" s="51" t="s">
        <v>3636</v>
      </c>
      <c r="D19" s="51">
        <v>8165910406</v>
      </c>
      <c r="E19" s="51" t="s">
        <v>25</v>
      </c>
      <c r="F19" s="51" t="s">
        <v>568</v>
      </c>
      <c r="G19" s="51" t="s">
        <v>3637</v>
      </c>
    </row>
    <row r="20" spans="2:7">
      <c r="B20" s="50">
        <v>9</v>
      </c>
      <c r="C20" s="51" t="s">
        <v>3638</v>
      </c>
      <c r="D20" s="51">
        <v>8166612620</v>
      </c>
      <c r="E20" s="51" t="s">
        <v>96</v>
      </c>
      <c r="F20" s="51" t="s">
        <v>561</v>
      </c>
      <c r="G20" s="51" t="s">
        <v>3639</v>
      </c>
    </row>
    <row r="21" spans="2:7">
      <c r="B21" s="50">
        <v>10</v>
      </c>
      <c r="C21" s="51" t="s">
        <v>3640</v>
      </c>
      <c r="D21" s="51">
        <v>8153708801</v>
      </c>
      <c r="E21" s="51" t="s">
        <v>96</v>
      </c>
      <c r="F21" s="51" t="s">
        <v>561</v>
      </c>
      <c r="G21" s="51" t="s">
        <v>3641</v>
      </c>
    </row>
    <row r="22" spans="2:7">
      <c r="B22" s="50">
        <v>11</v>
      </c>
      <c r="C22" s="51" t="s">
        <v>3642</v>
      </c>
      <c r="D22" s="51">
        <v>8139123445</v>
      </c>
      <c r="E22" s="51" t="s">
        <v>1962</v>
      </c>
      <c r="F22" s="51" t="s">
        <v>568</v>
      </c>
      <c r="G22" s="51" t="s">
        <v>3643</v>
      </c>
    </row>
    <row r="23" spans="2:7">
      <c r="B23" s="50">
        <v>12</v>
      </c>
      <c r="C23" s="51" t="s">
        <v>3644</v>
      </c>
      <c r="D23" s="51">
        <v>7067500992</v>
      </c>
      <c r="E23" s="51" t="s">
        <v>218</v>
      </c>
      <c r="F23" s="51" t="s">
        <v>561</v>
      </c>
      <c r="G23" s="51" t="s">
        <v>3645</v>
      </c>
    </row>
    <row r="24" spans="2:7">
      <c r="B24" s="50">
        <v>13</v>
      </c>
      <c r="C24" s="51" t="s">
        <v>3646</v>
      </c>
      <c r="D24" s="51">
        <v>8066054445</v>
      </c>
      <c r="E24" s="51" t="s">
        <v>2120</v>
      </c>
      <c r="F24" s="51" t="s">
        <v>561</v>
      </c>
      <c r="G24" s="51" t="s">
        <v>3647</v>
      </c>
    </row>
    <row r="25" spans="2:7">
      <c r="B25" s="50">
        <v>14</v>
      </c>
      <c r="C25" s="51" t="s">
        <v>3648</v>
      </c>
      <c r="D25" s="51">
        <v>8132981726</v>
      </c>
      <c r="E25" s="51" t="s">
        <v>218</v>
      </c>
      <c r="F25" s="51" t="s">
        <v>568</v>
      </c>
      <c r="G25" s="51" t="s">
        <v>3649</v>
      </c>
    </row>
    <row r="26" spans="2:7">
      <c r="B26" s="50">
        <v>15</v>
      </c>
      <c r="C26" s="51" t="s">
        <v>3650</v>
      </c>
      <c r="D26" s="51">
        <v>7032451725</v>
      </c>
      <c r="E26" s="51" t="s">
        <v>1962</v>
      </c>
      <c r="F26" s="51" t="s">
        <v>561</v>
      </c>
      <c r="G26" s="51" t="s">
        <v>3651</v>
      </c>
    </row>
    <row r="27" spans="2:7">
      <c r="B27" s="50">
        <v>16</v>
      </c>
      <c r="C27" s="51" t="s">
        <v>3652</v>
      </c>
      <c r="D27" s="51">
        <v>8135770365</v>
      </c>
      <c r="E27" s="51" t="s">
        <v>49</v>
      </c>
      <c r="F27" s="51" t="s">
        <v>3653</v>
      </c>
      <c r="G27" s="51" t="s">
        <v>3654</v>
      </c>
    </row>
    <row r="28" spans="2:7">
      <c r="B28" s="50">
        <v>17</v>
      </c>
      <c r="C28" s="51" t="s">
        <v>3655</v>
      </c>
      <c r="D28" s="51">
        <v>7031892381</v>
      </c>
      <c r="E28" s="51" t="s">
        <v>218</v>
      </c>
      <c r="F28" s="51" t="s">
        <v>561</v>
      </c>
      <c r="G28" s="51" t="s">
        <v>3656</v>
      </c>
    </row>
    <row r="29" spans="2:7">
      <c r="B29" s="50">
        <v>18</v>
      </c>
      <c r="C29" s="51" t="s">
        <v>3657</v>
      </c>
      <c r="D29" s="51">
        <v>9032223878</v>
      </c>
      <c r="E29" s="51" t="s">
        <v>1962</v>
      </c>
      <c r="F29" s="51" t="s">
        <v>561</v>
      </c>
      <c r="G29" s="51"/>
    </row>
    <row r="30" spans="2:7">
      <c r="B30" s="50">
        <v>19</v>
      </c>
      <c r="C30" s="51" t="s">
        <v>3658</v>
      </c>
      <c r="D30" s="51">
        <v>7035471308</v>
      </c>
      <c r="E30" s="51" t="s">
        <v>218</v>
      </c>
      <c r="F30" s="51" t="s">
        <v>568</v>
      </c>
      <c r="G30" s="53">
        <v>37043</v>
      </c>
    </row>
    <row r="31" spans="2:7">
      <c r="B31" s="50">
        <v>20</v>
      </c>
      <c r="C31" s="51" t="s">
        <v>3659</v>
      </c>
      <c r="D31" s="51">
        <v>8168561404</v>
      </c>
      <c r="E31" s="51" t="s">
        <v>218</v>
      </c>
      <c r="F31" s="51" t="s">
        <v>561</v>
      </c>
      <c r="G31" s="53">
        <v>41913</v>
      </c>
    </row>
    <row r="32" spans="2:7">
      <c r="B32" s="50">
        <v>21</v>
      </c>
      <c r="C32" s="51" t="s">
        <v>3660</v>
      </c>
      <c r="D32" s="51">
        <v>8105977882</v>
      </c>
      <c r="E32" s="51" t="s">
        <v>96</v>
      </c>
      <c r="F32" s="51" t="s">
        <v>568</v>
      </c>
      <c r="G32" s="53">
        <v>47027</v>
      </c>
    </row>
    <row r="33" spans="2:7">
      <c r="B33" s="50">
        <v>22</v>
      </c>
      <c r="C33" s="51" t="s">
        <v>3661</v>
      </c>
      <c r="D33" s="51">
        <v>8181926597</v>
      </c>
      <c r="E33" s="51" t="s">
        <v>2120</v>
      </c>
      <c r="F33" s="51" t="s">
        <v>568</v>
      </c>
      <c r="G33" s="53">
        <v>40179</v>
      </c>
    </row>
    <row r="34" spans="2:7">
      <c r="B34" s="50">
        <v>23</v>
      </c>
      <c r="C34" s="51" t="s">
        <v>3662</v>
      </c>
      <c r="D34" s="51">
        <v>8063871422</v>
      </c>
      <c r="E34" s="51" t="s">
        <v>218</v>
      </c>
      <c r="F34" s="51" t="s">
        <v>9</v>
      </c>
      <c r="G34" s="53">
        <v>41852</v>
      </c>
    </row>
    <row r="35" spans="2:7">
      <c r="B35" s="52">
        <v>24</v>
      </c>
      <c r="C35" s="54" t="s">
        <v>3663</v>
      </c>
      <c r="D35" s="54">
        <v>8149809643</v>
      </c>
      <c r="E35" s="54" t="s">
        <v>25</v>
      </c>
      <c r="F35" s="54" t="s">
        <v>12</v>
      </c>
      <c r="G35" s="55">
        <v>43282</v>
      </c>
    </row>
    <row r="36" spans="2:7">
      <c r="B36" s="56">
        <v>25</v>
      </c>
      <c r="C36" s="51" t="s">
        <v>3664</v>
      </c>
      <c r="D36" s="51">
        <v>7054628599</v>
      </c>
      <c r="E36" s="51" t="s">
        <v>21</v>
      </c>
      <c r="F36" s="51" t="s">
        <v>568</v>
      </c>
      <c r="G36" s="51" t="s">
        <v>3709</v>
      </c>
    </row>
    <row r="37" spans="2:7">
      <c r="B37" s="56">
        <v>26</v>
      </c>
      <c r="C37" s="51" t="s">
        <v>3665</v>
      </c>
      <c r="D37" s="51">
        <v>8102348349</v>
      </c>
      <c r="E37" s="51" t="s">
        <v>19</v>
      </c>
      <c r="F37" s="51" t="s">
        <v>568</v>
      </c>
      <c r="G37" s="51" t="s">
        <v>3710</v>
      </c>
    </row>
    <row r="38" spans="2:7">
      <c r="B38" s="56">
        <v>27</v>
      </c>
      <c r="C38" s="51" t="s">
        <v>3666</v>
      </c>
      <c r="D38" s="51">
        <v>8107151566</v>
      </c>
      <c r="E38" s="51" t="s">
        <v>21</v>
      </c>
      <c r="F38" s="51" t="s">
        <v>568</v>
      </c>
      <c r="G38" s="51" t="s">
        <v>3711</v>
      </c>
    </row>
    <row r="39" spans="2:7">
      <c r="B39" s="56">
        <v>28</v>
      </c>
      <c r="C39" s="51" t="s">
        <v>3667</v>
      </c>
      <c r="D39" s="51">
        <v>8186257510</v>
      </c>
      <c r="E39" s="51" t="s">
        <v>144</v>
      </c>
      <c r="F39" s="51" t="s">
        <v>568</v>
      </c>
      <c r="G39" s="51" t="s">
        <v>3712</v>
      </c>
    </row>
    <row r="40" spans="2:7">
      <c r="B40" s="56">
        <v>29</v>
      </c>
      <c r="C40" s="51" t="s">
        <v>3668</v>
      </c>
      <c r="D40" s="51">
        <v>8167158489</v>
      </c>
      <c r="E40" s="51" t="s">
        <v>45</v>
      </c>
      <c r="F40" s="51" t="s">
        <v>561</v>
      </c>
      <c r="G40" s="51" t="s">
        <v>3713</v>
      </c>
    </row>
    <row r="41" spans="2:7">
      <c r="B41" s="56">
        <v>30</v>
      </c>
      <c r="C41" s="51" t="s">
        <v>3669</v>
      </c>
      <c r="D41" s="51">
        <v>8140398140</v>
      </c>
      <c r="E41" s="51" t="s">
        <v>113</v>
      </c>
      <c r="F41" s="51" t="s">
        <v>568</v>
      </c>
      <c r="G41" s="51" t="s">
        <v>3714</v>
      </c>
    </row>
    <row r="42" spans="2:7">
      <c r="B42" s="56">
        <v>31</v>
      </c>
      <c r="C42" s="51" t="s">
        <v>3670</v>
      </c>
      <c r="D42" s="51">
        <v>8130252922</v>
      </c>
      <c r="E42" s="51" t="s">
        <v>19</v>
      </c>
      <c r="F42" s="51" t="s">
        <v>568</v>
      </c>
      <c r="G42" s="51" t="s">
        <v>3715</v>
      </c>
    </row>
    <row r="43" spans="2:7">
      <c r="B43" s="56">
        <v>32</v>
      </c>
      <c r="C43" s="51" t="s">
        <v>3671</v>
      </c>
      <c r="D43" s="51">
        <v>8102564922</v>
      </c>
      <c r="E43" s="51" t="s">
        <v>45</v>
      </c>
      <c r="F43" s="51" t="s">
        <v>568</v>
      </c>
      <c r="G43" s="51" t="s">
        <v>3716</v>
      </c>
    </row>
    <row r="44" spans="2:7">
      <c r="B44" s="56">
        <v>33</v>
      </c>
      <c r="C44" s="51" t="s">
        <v>3672</v>
      </c>
      <c r="D44" s="51">
        <v>8160994624</v>
      </c>
      <c r="E44" s="51" t="s">
        <v>144</v>
      </c>
      <c r="F44" s="51" t="s">
        <v>568</v>
      </c>
      <c r="G44" s="51" t="s">
        <v>3717</v>
      </c>
    </row>
    <row r="45" spans="2:7">
      <c r="B45" s="56">
        <v>34</v>
      </c>
      <c r="C45" s="51" t="s">
        <v>3673</v>
      </c>
      <c r="D45" s="51">
        <v>7069263676</v>
      </c>
      <c r="E45" s="51" t="s">
        <v>71</v>
      </c>
      <c r="F45" s="51" t="s">
        <v>568</v>
      </c>
      <c r="G45" s="51" t="s">
        <v>3718</v>
      </c>
    </row>
    <row r="46" spans="2:7">
      <c r="B46" s="56">
        <v>35</v>
      </c>
      <c r="C46" s="51" t="s">
        <v>3674</v>
      </c>
      <c r="D46" s="51">
        <v>8165260157</v>
      </c>
      <c r="E46" s="51" t="s">
        <v>45</v>
      </c>
      <c r="F46" s="51" t="s">
        <v>568</v>
      </c>
      <c r="G46" s="51" t="s">
        <v>3637</v>
      </c>
    </row>
    <row r="47" spans="2:7">
      <c r="B47" s="56">
        <v>36</v>
      </c>
      <c r="C47" s="51" t="s">
        <v>3675</v>
      </c>
      <c r="D47" s="51">
        <v>7062743233</v>
      </c>
      <c r="E47" s="51" t="s">
        <v>21</v>
      </c>
      <c r="F47" s="51" t="s">
        <v>568</v>
      </c>
      <c r="G47" s="51" t="s">
        <v>3719</v>
      </c>
    </row>
    <row r="48" spans="2:7">
      <c r="B48" s="56">
        <v>37</v>
      </c>
      <c r="C48" s="51" t="s">
        <v>3676</v>
      </c>
      <c r="D48" s="51">
        <v>907553349</v>
      </c>
      <c r="E48" s="51" t="s">
        <v>113</v>
      </c>
      <c r="F48" s="51" t="s">
        <v>568</v>
      </c>
      <c r="G48" s="51" t="s">
        <v>3720</v>
      </c>
    </row>
    <row r="49" spans="2:7">
      <c r="B49" s="56">
        <v>38</v>
      </c>
      <c r="C49" s="51" t="s">
        <v>3677</v>
      </c>
      <c r="D49" s="51">
        <v>9030909165</v>
      </c>
      <c r="E49" s="51" t="s">
        <v>113</v>
      </c>
      <c r="F49" s="51" t="s">
        <v>568</v>
      </c>
      <c r="G49" s="51" t="s">
        <v>3720</v>
      </c>
    </row>
    <row r="50" spans="2:7">
      <c r="B50" s="56">
        <v>39</v>
      </c>
      <c r="C50" s="51" t="s">
        <v>3678</v>
      </c>
      <c r="D50" s="51">
        <v>8138376172</v>
      </c>
      <c r="E50" s="51" t="s">
        <v>113</v>
      </c>
      <c r="F50" s="51" t="s">
        <v>568</v>
      </c>
      <c r="G50" s="51" t="s">
        <v>3720</v>
      </c>
    </row>
    <row r="51" spans="2:7">
      <c r="B51" s="56">
        <v>40</v>
      </c>
      <c r="C51" s="51" t="s">
        <v>3679</v>
      </c>
      <c r="D51" s="51">
        <v>9038003379</v>
      </c>
      <c r="E51" s="51" t="s">
        <v>144</v>
      </c>
      <c r="F51" s="51" t="s">
        <v>568</v>
      </c>
      <c r="G51" s="51" t="s">
        <v>3721</v>
      </c>
    </row>
    <row r="52" spans="2:7">
      <c r="B52" s="56">
        <v>41</v>
      </c>
      <c r="C52" s="51" t="s">
        <v>3680</v>
      </c>
      <c r="D52" s="51">
        <v>8144283420</v>
      </c>
      <c r="E52" s="51" t="s">
        <v>144</v>
      </c>
      <c r="F52" s="51" t="s">
        <v>568</v>
      </c>
      <c r="G52" s="51" t="s">
        <v>3722</v>
      </c>
    </row>
    <row r="53" spans="2:7">
      <c r="B53" s="56">
        <v>42</v>
      </c>
      <c r="C53" s="51" t="s">
        <v>3681</v>
      </c>
      <c r="D53" s="51">
        <v>8137530625</v>
      </c>
      <c r="E53" s="51" t="s">
        <v>19</v>
      </c>
      <c r="F53" s="51" t="s">
        <v>568</v>
      </c>
      <c r="G53" s="51" t="s">
        <v>3723</v>
      </c>
    </row>
    <row r="54" spans="2:7">
      <c r="B54" s="56">
        <v>43</v>
      </c>
      <c r="C54" s="51" t="s">
        <v>3682</v>
      </c>
      <c r="D54" s="51">
        <v>8168492234</v>
      </c>
      <c r="E54" s="51" t="s">
        <v>19</v>
      </c>
      <c r="F54" s="51" t="s">
        <v>568</v>
      </c>
      <c r="G54" s="51" t="s">
        <v>3724</v>
      </c>
    </row>
    <row r="55" spans="2:7">
      <c r="B55" s="56">
        <v>44</v>
      </c>
      <c r="C55" s="51" t="s">
        <v>3683</v>
      </c>
      <c r="D55" s="51">
        <v>8167137610</v>
      </c>
      <c r="E55" s="51" t="s">
        <v>144</v>
      </c>
      <c r="F55" s="51" t="s">
        <v>3708</v>
      </c>
      <c r="G55" s="51" t="s">
        <v>3725</v>
      </c>
    </row>
    <row r="56" spans="2:7">
      <c r="B56" s="56">
        <v>45</v>
      </c>
      <c r="C56" s="51" t="s">
        <v>3684</v>
      </c>
      <c r="D56" s="51">
        <v>8036792735</v>
      </c>
      <c r="E56" s="51" t="s">
        <v>45</v>
      </c>
      <c r="F56" s="51" t="s">
        <v>3708</v>
      </c>
      <c r="G56" s="51" t="s">
        <v>3726</v>
      </c>
    </row>
    <row r="57" spans="2:7">
      <c r="B57" s="56">
        <v>46</v>
      </c>
      <c r="C57" s="51" t="s">
        <v>3685</v>
      </c>
      <c r="D57" s="51">
        <v>8100921167</v>
      </c>
      <c r="E57" s="51" t="s">
        <v>45</v>
      </c>
      <c r="F57" s="51" t="s">
        <v>568</v>
      </c>
      <c r="G57" s="51" t="s">
        <v>3727</v>
      </c>
    </row>
    <row r="58" spans="2:7">
      <c r="B58" s="56">
        <v>47</v>
      </c>
      <c r="C58" s="51" t="s">
        <v>3686</v>
      </c>
      <c r="D58" s="51">
        <v>8164340150</v>
      </c>
      <c r="E58" s="51" t="s">
        <v>21</v>
      </c>
      <c r="F58" s="51" t="s">
        <v>561</v>
      </c>
      <c r="G58" s="51" t="s">
        <v>3728</v>
      </c>
    </row>
    <row r="59" spans="2:7">
      <c r="B59" s="56">
        <v>48</v>
      </c>
      <c r="C59" s="51" t="s">
        <v>3687</v>
      </c>
      <c r="D59" s="51">
        <v>8137534728</v>
      </c>
      <c r="E59" s="51" t="s">
        <v>71</v>
      </c>
      <c r="F59" s="51" t="s">
        <v>568</v>
      </c>
      <c r="G59" s="51" t="s">
        <v>3729</v>
      </c>
    </row>
    <row r="60" spans="2:7">
      <c r="B60" s="56">
        <v>49</v>
      </c>
      <c r="C60" s="51" t="s">
        <v>3688</v>
      </c>
      <c r="D60" s="51">
        <v>8067681248</v>
      </c>
      <c r="E60" s="51" t="s">
        <v>19</v>
      </c>
      <c r="F60" s="51" t="s">
        <v>568</v>
      </c>
      <c r="G60" s="51" t="s">
        <v>3656</v>
      </c>
    </row>
    <row r="61" spans="2:7">
      <c r="B61" s="56">
        <v>50</v>
      </c>
      <c r="C61" s="51" t="s">
        <v>3689</v>
      </c>
      <c r="D61" s="51">
        <v>8185183321</v>
      </c>
      <c r="E61" s="51" t="s">
        <v>19</v>
      </c>
      <c r="F61" s="51" t="s">
        <v>3708</v>
      </c>
      <c r="G61" s="51" t="s">
        <v>3730</v>
      </c>
    </row>
    <row r="62" spans="2:7">
      <c r="B62" s="56">
        <v>51</v>
      </c>
      <c r="C62" s="51" t="s">
        <v>3690</v>
      </c>
      <c r="D62" s="51">
        <v>8162345840</v>
      </c>
      <c r="E62" s="51" t="s">
        <v>45</v>
      </c>
      <c r="F62" s="51" t="s">
        <v>568</v>
      </c>
      <c r="G62" s="53">
        <v>39387</v>
      </c>
    </row>
    <row r="63" spans="2:7">
      <c r="B63" s="56">
        <v>52</v>
      </c>
      <c r="C63" s="51" t="s">
        <v>3691</v>
      </c>
      <c r="D63" s="51">
        <v>8124435655</v>
      </c>
      <c r="E63" s="51" t="s">
        <v>21</v>
      </c>
      <c r="F63" s="51" t="s">
        <v>568</v>
      </c>
      <c r="G63" s="53">
        <v>37316</v>
      </c>
    </row>
    <row r="64" spans="2:7">
      <c r="B64" s="56">
        <v>53</v>
      </c>
      <c r="C64" s="51" t="s">
        <v>3692</v>
      </c>
      <c r="D64" s="51">
        <v>8165539137</v>
      </c>
      <c r="E64" s="51" t="s">
        <v>19</v>
      </c>
      <c r="F64" s="51" t="s">
        <v>568</v>
      </c>
      <c r="G64" s="53">
        <v>39264</v>
      </c>
    </row>
    <row r="65" spans="2:7">
      <c r="B65" s="56">
        <v>54</v>
      </c>
      <c r="C65" s="51" t="s">
        <v>3693</v>
      </c>
      <c r="D65" s="51">
        <v>8139331357</v>
      </c>
      <c r="E65" s="51" t="s">
        <v>19</v>
      </c>
      <c r="F65" s="51" t="s">
        <v>568</v>
      </c>
      <c r="G65" s="53">
        <v>41730</v>
      </c>
    </row>
    <row r="66" spans="2:7">
      <c r="B66" s="56">
        <v>55</v>
      </c>
      <c r="C66" s="51" t="s">
        <v>3694</v>
      </c>
      <c r="D66" s="51">
        <v>8132586404</v>
      </c>
      <c r="E66" s="51" t="s">
        <v>45</v>
      </c>
      <c r="F66" s="50" t="s">
        <v>9</v>
      </c>
      <c r="G66" s="57">
        <v>42461</v>
      </c>
    </row>
    <row r="67" spans="2:7">
      <c r="B67" s="56">
        <v>56</v>
      </c>
      <c r="C67" s="51" t="s">
        <v>3695</v>
      </c>
      <c r="D67" s="51">
        <v>8135556767</v>
      </c>
      <c r="E67" s="51" t="s">
        <v>144</v>
      </c>
      <c r="F67" s="50" t="s">
        <v>12</v>
      </c>
      <c r="G67" s="58">
        <v>43430</v>
      </c>
    </row>
    <row r="68" spans="2:7">
      <c r="B68" s="56">
        <v>57</v>
      </c>
      <c r="C68" s="50" t="s">
        <v>3696</v>
      </c>
      <c r="D68" s="50">
        <v>8108282853</v>
      </c>
      <c r="E68" s="50" t="s">
        <v>144</v>
      </c>
      <c r="F68" s="50" t="s">
        <v>12</v>
      </c>
      <c r="G68" s="53">
        <v>38718</v>
      </c>
    </row>
    <row r="69" spans="2:7">
      <c r="B69" s="56">
        <v>58</v>
      </c>
      <c r="C69" s="50" t="s">
        <v>3697</v>
      </c>
      <c r="D69" s="50">
        <v>8164024225</v>
      </c>
      <c r="E69" s="50" t="s">
        <v>144</v>
      </c>
      <c r="F69" s="50" t="s">
        <v>12</v>
      </c>
      <c r="G69" s="57">
        <v>44927</v>
      </c>
    </row>
    <row r="70" spans="2:7">
      <c r="B70" s="56">
        <v>59</v>
      </c>
      <c r="C70" s="51" t="s">
        <v>3698</v>
      </c>
      <c r="D70" s="51">
        <v>7068540454</v>
      </c>
      <c r="E70" s="50" t="s">
        <v>45</v>
      </c>
      <c r="F70" s="50" t="s">
        <v>12</v>
      </c>
      <c r="G70" s="57">
        <v>39142</v>
      </c>
    </row>
    <row r="71" spans="2:7">
      <c r="B71" s="56">
        <v>60</v>
      </c>
      <c r="C71" s="50" t="s">
        <v>3699</v>
      </c>
      <c r="D71" s="51">
        <v>7033855537</v>
      </c>
      <c r="E71" s="51" t="s">
        <v>71</v>
      </c>
      <c r="F71" s="50" t="s">
        <v>12</v>
      </c>
      <c r="G71" s="57">
        <v>47423</v>
      </c>
    </row>
    <row r="72" spans="2:7">
      <c r="B72" s="56">
        <v>61</v>
      </c>
      <c r="C72" s="50" t="s">
        <v>3700</v>
      </c>
      <c r="D72" s="50">
        <v>8167967805</v>
      </c>
      <c r="E72" s="50" t="s">
        <v>45</v>
      </c>
      <c r="F72" s="50" t="s">
        <v>12</v>
      </c>
      <c r="G72" s="57">
        <v>44986</v>
      </c>
    </row>
    <row r="73" spans="2:7">
      <c r="B73" s="56">
        <v>62</v>
      </c>
      <c r="C73" s="50" t="s">
        <v>3701</v>
      </c>
      <c r="D73" s="50">
        <v>8136481236</v>
      </c>
      <c r="E73" s="50" t="s">
        <v>144</v>
      </c>
      <c r="F73" s="50" t="s">
        <v>12</v>
      </c>
      <c r="G73" s="57">
        <v>11383</v>
      </c>
    </row>
    <row r="74" spans="2:7">
      <c r="B74" s="56">
        <v>63</v>
      </c>
      <c r="C74" s="50" t="s">
        <v>3702</v>
      </c>
      <c r="D74" s="50">
        <v>8114573440</v>
      </c>
      <c r="E74" s="50" t="s">
        <v>71</v>
      </c>
      <c r="F74" s="50" t="s">
        <v>12</v>
      </c>
      <c r="G74" s="57">
        <v>37681</v>
      </c>
    </row>
    <row r="75" spans="2:7">
      <c r="B75" s="56">
        <v>64</v>
      </c>
      <c r="C75" s="50" t="s">
        <v>3703</v>
      </c>
      <c r="D75" s="50">
        <v>8131909011</v>
      </c>
      <c r="E75" s="50" t="s">
        <v>144</v>
      </c>
      <c r="F75" s="50" t="s">
        <v>12</v>
      </c>
      <c r="G75" s="57">
        <v>45323</v>
      </c>
    </row>
    <row r="76" spans="2:7">
      <c r="B76" s="56">
        <v>65</v>
      </c>
      <c r="C76" s="50" t="s">
        <v>3704</v>
      </c>
      <c r="D76" s="50">
        <v>7032779031</v>
      </c>
      <c r="E76" s="50" t="s">
        <v>45</v>
      </c>
      <c r="F76" s="50" t="s">
        <v>12</v>
      </c>
      <c r="G76" s="57">
        <v>41821</v>
      </c>
    </row>
    <row r="77" spans="2:7">
      <c r="B77" s="56">
        <v>66</v>
      </c>
      <c r="C77" s="50" t="s">
        <v>3705</v>
      </c>
      <c r="D77" s="50">
        <v>8069553378</v>
      </c>
      <c r="E77" s="50" t="s">
        <v>144</v>
      </c>
      <c r="F77" s="50" t="s">
        <v>12</v>
      </c>
      <c r="G77" s="57">
        <v>38473</v>
      </c>
    </row>
    <row r="78" spans="2:7">
      <c r="B78" s="56">
        <v>67</v>
      </c>
      <c r="C78" s="50" t="s">
        <v>3706</v>
      </c>
      <c r="D78" s="50">
        <v>8133783310</v>
      </c>
      <c r="E78" s="50" t="s">
        <v>45</v>
      </c>
      <c r="F78" s="50" t="s">
        <v>9</v>
      </c>
      <c r="G78" s="57">
        <v>45047</v>
      </c>
    </row>
    <row r="79" spans="2:7">
      <c r="B79" s="56">
        <v>68</v>
      </c>
      <c r="C79" s="50" t="s">
        <v>3707</v>
      </c>
      <c r="D79" s="50">
        <v>8138231123</v>
      </c>
      <c r="E79" s="50" t="s">
        <v>71</v>
      </c>
      <c r="F79" s="50" t="s">
        <v>12</v>
      </c>
      <c r="G79" s="57">
        <v>38200</v>
      </c>
    </row>
    <row r="80" spans="2:7">
      <c r="B80" s="56">
        <v>69</v>
      </c>
      <c r="C80" s="51" t="s">
        <v>3731</v>
      </c>
      <c r="D80" s="51">
        <v>8134708486</v>
      </c>
      <c r="E80" s="51" t="s">
        <v>31</v>
      </c>
      <c r="F80" s="51" t="s">
        <v>568</v>
      </c>
      <c r="G80" s="51" t="s">
        <v>3745</v>
      </c>
    </row>
    <row r="81" spans="2:7">
      <c r="B81" s="56">
        <v>70</v>
      </c>
      <c r="C81" s="51" t="s">
        <v>3732</v>
      </c>
      <c r="D81" s="51">
        <v>7069298798</v>
      </c>
      <c r="E81" s="51" t="s">
        <v>14</v>
      </c>
      <c r="F81" s="51" t="s">
        <v>561</v>
      </c>
      <c r="G81" s="51" t="s">
        <v>3746</v>
      </c>
    </row>
    <row r="82" spans="2:7">
      <c r="B82" s="56">
        <v>71</v>
      </c>
      <c r="C82" s="51" t="s">
        <v>3733</v>
      </c>
      <c r="D82" s="51" t="s">
        <v>3743</v>
      </c>
      <c r="E82" s="51" t="s">
        <v>14</v>
      </c>
      <c r="F82" s="51" t="s">
        <v>561</v>
      </c>
      <c r="G82" s="51" t="s">
        <v>3747</v>
      </c>
    </row>
    <row r="83" spans="2:7">
      <c r="B83" s="56">
        <v>72</v>
      </c>
      <c r="C83" s="51" t="s">
        <v>3734</v>
      </c>
      <c r="D83" s="51">
        <v>8109796203</v>
      </c>
      <c r="E83" s="51" t="s">
        <v>41</v>
      </c>
      <c r="F83" s="51" t="s">
        <v>568</v>
      </c>
      <c r="G83" s="51" t="s">
        <v>3748</v>
      </c>
    </row>
    <row r="84" spans="2:7">
      <c r="B84" s="56">
        <v>73</v>
      </c>
      <c r="C84" s="51" t="s">
        <v>3735</v>
      </c>
      <c r="D84" s="51">
        <v>7036639218</v>
      </c>
      <c r="E84" s="51" t="s">
        <v>41</v>
      </c>
      <c r="F84" s="51" t="s">
        <v>3653</v>
      </c>
      <c r="G84" s="51" t="s">
        <v>3749</v>
      </c>
    </row>
    <row r="85" spans="2:7">
      <c r="B85" s="56">
        <v>74</v>
      </c>
      <c r="C85" s="51" t="s">
        <v>3736</v>
      </c>
      <c r="D85" s="51">
        <v>8106377097</v>
      </c>
      <c r="E85" s="51" t="s">
        <v>14</v>
      </c>
      <c r="F85" s="51" t="s">
        <v>568</v>
      </c>
      <c r="G85" s="53">
        <v>47239</v>
      </c>
    </row>
    <row r="86" spans="2:7">
      <c r="B86" s="56">
        <v>75</v>
      </c>
      <c r="C86" s="51" t="s">
        <v>3737</v>
      </c>
      <c r="D86" s="51">
        <v>8099078019</v>
      </c>
      <c r="E86" s="51" t="s">
        <v>41</v>
      </c>
      <c r="F86" s="51" t="s">
        <v>568</v>
      </c>
      <c r="G86" s="53">
        <v>38777</v>
      </c>
    </row>
    <row r="87" spans="2:7">
      <c r="B87" s="56">
        <v>76</v>
      </c>
      <c r="C87" s="51" t="s">
        <v>3738</v>
      </c>
      <c r="D87" s="51">
        <v>8066293047</v>
      </c>
      <c r="E87" s="51" t="s">
        <v>14</v>
      </c>
      <c r="F87" s="51" t="s">
        <v>568</v>
      </c>
      <c r="G87" s="53">
        <v>46266</v>
      </c>
    </row>
    <row r="88" spans="2:7">
      <c r="B88" s="56">
        <v>77</v>
      </c>
      <c r="C88" s="51" t="s">
        <v>3739</v>
      </c>
      <c r="D88" s="51">
        <v>810885441</v>
      </c>
      <c r="E88" s="51" t="s">
        <v>14</v>
      </c>
      <c r="F88" s="51" t="s">
        <v>568</v>
      </c>
      <c r="G88" s="53">
        <v>40969</v>
      </c>
    </row>
    <row r="89" spans="2:7">
      <c r="B89" s="56">
        <v>78</v>
      </c>
      <c r="C89" s="51" t="s">
        <v>3740</v>
      </c>
      <c r="D89" s="51">
        <v>8060786885</v>
      </c>
      <c r="E89" s="51" t="s">
        <v>31</v>
      </c>
      <c r="F89" s="51" t="s">
        <v>568</v>
      </c>
      <c r="G89" s="53">
        <v>11597</v>
      </c>
    </row>
    <row r="90" spans="2:7">
      <c r="B90" s="56">
        <v>79</v>
      </c>
      <c r="C90" s="51" t="s">
        <v>3741</v>
      </c>
      <c r="D90" s="51">
        <v>8147973819</v>
      </c>
      <c r="E90" s="51" t="s">
        <v>62</v>
      </c>
      <c r="F90" s="51" t="s">
        <v>568</v>
      </c>
      <c r="G90" s="53">
        <v>38169</v>
      </c>
    </row>
    <row r="91" spans="2:7">
      <c r="B91" s="56">
        <v>80</v>
      </c>
      <c r="C91" s="51" t="s">
        <v>3742</v>
      </c>
      <c r="D91" s="51">
        <v>8138329470</v>
      </c>
      <c r="E91" s="51" t="s">
        <v>62</v>
      </c>
      <c r="F91" s="59" t="s">
        <v>3744</v>
      </c>
      <c r="G91" s="51" t="s">
        <v>3750</v>
      </c>
    </row>
    <row r="92" spans="2:7">
      <c r="B92" s="56">
        <v>81</v>
      </c>
      <c r="C92" s="51" t="s">
        <v>3751</v>
      </c>
      <c r="D92" s="51">
        <v>8139376055</v>
      </c>
      <c r="E92" s="51" t="s">
        <v>64</v>
      </c>
      <c r="F92" s="51" t="s">
        <v>561</v>
      </c>
      <c r="G92" s="51" t="s">
        <v>3794</v>
      </c>
    </row>
    <row r="93" spans="2:7">
      <c r="B93" s="56">
        <v>82</v>
      </c>
      <c r="C93" s="51" t="s">
        <v>3752</v>
      </c>
      <c r="D93" s="51">
        <v>8165101596</v>
      </c>
      <c r="E93" s="51" t="s">
        <v>53</v>
      </c>
      <c r="F93" s="51" t="s">
        <v>568</v>
      </c>
      <c r="G93" s="51" t="s">
        <v>3795</v>
      </c>
    </row>
    <row r="94" spans="2:7">
      <c r="B94" s="56">
        <v>83</v>
      </c>
      <c r="C94" s="51" t="s">
        <v>3753</v>
      </c>
      <c r="D94" s="51">
        <v>8166565784</v>
      </c>
      <c r="E94" s="51" t="s">
        <v>75</v>
      </c>
      <c r="F94" s="51" t="s">
        <v>568</v>
      </c>
      <c r="G94" s="51" t="s">
        <v>3796</v>
      </c>
    </row>
    <row r="95" spans="2:7">
      <c r="B95" s="56">
        <v>84</v>
      </c>
      <c r="C95" s="51" t="s">
        <v>3754</v>
      </c>
      <c r="D95" s="51">
        <v>7038321143</v>
      </c>
      <c r="E95" s="51" t="s">
        <v>53</v>
      </c>
      <c r="F95" s="51" t="s">
        <v>568</v>
      </c>
      <c r="G95" s="51" t="s">
        <v>3797</v>
      </c>
    </row>
    <row r="96" spans="2:7">
      <c r="B96" s="56">
        <v>85</v>
      </c>
      <c r="C96" s="51" t="s">
        <v>3755</v>
      </c>
      <c r="D96" s="51">
        <v>7010367284</v>
      </c>
      <c r="E96" s="51"/>
      <c r="F96" s="51" t="s">
        <v>568</v>
      </c>
      <c r="G96" s="51" t="s">
        <v>3631</v>
      </c>
    </row>
    <row r="97" spans="2:7">
      <c r="B97" s="56">
        <v>86</v>
      </c>
      <c r="C97" s="51" t="s">
        <v>3756</v>
      </c>
      <c r="D97" s="51">
        <v>7033928359</v>
      </c>
      <c r="E97" s="51" t="s">
        <v>53</v>
      </c>
      <c r="F97" s="51" t="s">
        <v>561</v>
      </c>
      <c r="G97" s="51" t="s">
        <v>3798</v>
      </c>
    </row>
    <row r="98" spans="2:7">
      <c r="B98" s="56">
        <v>87</v>
      </c>
      <c r="C98" s="51" t="s">
        <v>3757</v>
      </c>
      <c r="D98" s="51">
        <v>9035836132</v>
      </c>
      <c r="E98" s="51" t="s">
        <v>23</v>
      </c>
      <c r="F98" s="51" t="s">
        <v>568</v>
      </c>
      <c r="G98" s="51" t="s">
        <v>3799</v>
      </c>
    </row>
    <row r="99" spans="2:7">
      <c r="B99" s="56">
        <v>88</v>
      </c>
      <c r="C99" s="51" t="s">
        <v>3758</v>
      </c>
      <c r="D99" s="51">
        <v>7061936970</v>
      </c>
      <c r="E99" s="51" t="s">
        <v>75</v>
      </c>
      <c r="F99" s="51" t="s">
        <v>568</v>
      </c>
      <c r="G99" s="51" t="s">
        <v>3800</v>
      </c>
    </row>
    <row r="100" spans="2:7">
      <c r="B100" s="56">
        <v>89</v>
      </c>
      <c r="C100" s="51" t="s">
        <v>3759</v>
      </c>
      <c r="D100" s="51">
        <v>8060666770</v>
      </c>
      <c r="E100" s="51" t="s">
        <v>75</v>
      </c>
      <c r="F100" s="51" t="s">
        <v>568</v>
      </c>
      <c r="G100" s="51" t="s">
        <v>3801</v>
      </c>
    </row>
    <row r="101" spans="2:7">
      <c r="B101" s="56">
        <v>90</v>
      </c>
      <c r="C101" s="51" t="s">
        <v>3760</v>
      </c>
      <c r="D101" s="51">
        <v>8089667925</v>
      </c>
      <c r="E101" s="51" t="s">
        <v>43</v>
      </c>
      <c r="F101" s="51" t="s">
        <v>568</v>
      </c>
      <c r="G101" s="51" t="s">
        <v>3717</v>
      </c>
    </row>
    <row r="102" spans="2:7">
      <c r="B102" s="56">
        <v>91</v>
      </c>
      <c r="C102" s="51" t="s">
        <v>3761</v>
      </c>
      <c r="D102" s="51">
        <v>8160533254</v>
      </c>
      <c r="E102" s="51" t="s">
        <v>53</v>
      </c>
      <c r="F102" s="51" t="s">
        <v>568</v>
      </c>
      <c r="G102" s="51" t="s">
        <v>3802</v>
      </c>
    </row>
    <row r="103" spans="2:7">
      <c r="B103" s="56">
        <v>92</v>
      </c>
      <c r="C103" s="51" t="s">
        <v>3762</v>
      </c>
      <c r="D103" s="51">
        <v>8100073891</v>
      </c>
      <c r="E103" s="51" t="s">
        <v>77</v>
      </c>
      <c r="F103" s="51" t="s">
        <v>568</v>
      </c>
      <c r="G103" s="51" t="s">
        <v>3803</v>
      </c>
    </row>
    <row r="104" spans="2:7">
      <c r="B104" s="56">
        <v>93</v>
      </c>
      <c r="C104" s="51" t="s">
        <v>3763</v>
      </c>
      <c r="D104" s="51">
        <v>8163187417</v>
      </c>
      <c r="E104" s="51" t="s">
        <v>64</v>
      </c>
      <c r="F104" s="51" t="s">
        <v>568</v>
      </c>
      <c r="G104" s="50" t="s">
        <v>3804</v>
      </c>
    </row>
    <row r="105" spans="2:7">
      <c r="B105" s="56">
        <v>94</v>
      </c>
      <c r="C105" s="51" t="s">
        <v>3764</v>
      </c>
      <c r="D105" s="51">
        <v>7061965609</v>
      </c>
      <c r="E105" s="51" t="s">
        <v>2768</v>
      </c>
      <c r="F105" s="51" t="s">
        <v>568</v>
      </c>
      <c r="G105" s="51" t="s">
        <v>3805</v>
      </c>
    </row>
    <row r="106" spans="2:7">
      <c r="B106" s="56">
        <v>95</v>
      </c>
      <c r="C106" s="51" t="s">
        <v>3765</v>
      </c>
      <c r="D106" s="51">
        <v>8106140211</v>
      </c>
      <c r="E106" s="51" t="s">
        <v>77</v>
      </c>
      <c r="F106" s="51" t="s">
        <v>561</v>
      </c>
      <c r="G106" s="51" t="s">
        <v>3806</v>
      </c>
    </row>
    <row r="107" spans="2:7">
      <c r="B107" s="56">
        <v>96</v>
      </c>
      <c r="C107" s="51" t="s">
        <v>3766</v>
      </c>
      <c r="D107" s="51">
        <v>8166236731</v>
      </c>
      <c r="E107" s="51" t="s">
        <v>64</v>
      </c>
      <c r="F107" s="51" t="s">
        <v>3708</v>
      </c>
      <c r="G107" s="50" t="s">
        <v>3807</v>
      </c>
    </row>
    <row r="108" spans="2:7">
      <c r="B108" s="56">
        <v>97</v>
      </c>
      <c r="C108" s="51" t="s">
        <v>3767</v>
      </c>
      <c r="D108" s="51">
        <v>8164227928</v>
      </c>
      <c r="E108" s="51" t="s">
        <v>2768</v>
      </c>
      <c r="F108" s="51" t="s">
        <v>568</v>
      </c>
      <c r="G108" s="51" t="s">
        <v>3808</v>
      </c>
    </row>
    <row r="109" spans="2:7">
      <c r="B109" s="56">
        <v>98</v>
      </c>
      <c r="C109" s="51" t="s">
        <v>3768</v>
      </c>
      <c r="D109" s="51">
        <v>8139220590</v>
      </c>
      <c r="E109" s="51" t="s">
        <v>2768</v>
      </c>
      <c r="F109" s="51" t="s">
        <v>3708</v>
      </c>
      <c r="G109" s="51" t="s">
        <v>3809</v>
      </c>
    </row>
    <row r="110" spans="2:7">
      <c r="B110" s="56">
        <v>99</v>
      </c>
      <c r="C110" s="51" t="s">
        <v>3769</v>
      </c>
      <c r="D110" s="51">
        <v>8101668692</v>
      </c>
      <c r="E110" s="51" t="s">
        <v>53</v>
      </c>
      <c r="F110" s="51" t="s">
        <v>568</v>
      </c>
      <c r="G110" s="51" t="s">
        <v>3810</v>
      </c>
    </row>
    <row r="111" spans="2:7">
      <c r="B111" s="56">
        <v>100</v>
      </c>
      <c r="C111" s="51" t="s">
        <v>3770</v>
      </c>
      <c r="D111" s="51">
        <v>8171037337</v>
      </c>
      <c r="E111" s="51" t="s">
        <v>75</v>
      </c>
      <c r="F111" s="51" t="s">
        <v>568</v>
      </c>
      <c r="G111" s="51" t="s">
        <v>3811</v>
      </c>
    </row>
    <row r="112" spans="2:7">
      <c r="B112" s="56">
        <v>101</v>
      </c>
      <c r="C112" s="51" t="s">
        <v>3771</v>
      </c>
      <c r="D112" s="51">
        <v>8138957964</v>
      </c>
      <c r="E112" s="51" t="s">
        <v>75</v>
      </c>
      <c r="F112" s="51" t="s">
        <v>568</v>
      </c>
      <c r="G112" s="51" t="s">
        <v>3726</v>
      </c>
    </row>
    <row r="113" spans="2:7">
      <c r="B113" s="56">
        <v>102</v>
      </c>
      <c r="C113" s="51" t="s">
        <v>3772</v>
      </c>
      <c r="D113" s="51">
        <v>7062735169</v>
      </c>
      <c r="E113" s="51" t="s">
        <v>2768</v>
      </c>
      <c r="F113" s="51" t="s">
        <v>3708</v>
      </c>
      <c r="G113" s="51" t="s">
        <v>3812</v>
      </c>
    </row>
    <row r="114" spans="2:7">
      <c r="B114" s="56">
        <v>103</v>
      </c>
      <c r="C114" s="51" t="s">
        <v>3773</v>
      </c>
      <c r="D114" s="51">
        <v>8063460198</v>
      </c>
      <c r="E114" s="51" t="s">
        <v>75</v>
      </c>
      <c r="F114" s="51" t="s">
        <v>568</v>
      </c>
      <c r="G114" s="51" t="s">
        <v>3813</v>
      </c>
    </row>
    <row r="115" spans="2:7">
      <c r="B115" s="56">
        <v>104</v>
      </c>
      <c r="C115" s="51" t="s">
        <v>3774</v>
      </c>
      <c r="D115" s="51">
        <v>9055637107</v>
      </c>
      <c r="E115" s="51" t="s">
        <v>2768</v>
      </c>
      <c r="F115" s="51" t="s">
        <v>568</v>
      </c>
      <c r="G115" s="51" t="s">
        <v>3814</v>
      </c>
    </row>
    <row r="116" spans="2:7">
      <c r="B116" s="56">
        <v>105</v>
      </c>
      <c r="C116" s="51" t="s">
        <v>3775</v>
      </c>
      <c r="D116" s="51">
        <v>9039120089</v>
      </c>
      <c r="E116" s="51" t="s">
        <v>77</v>
      </c>
      <c r="F116" s="51" t="s">
        <v>568</v>
      </c>
      <c r="G116" s="51" t="s">
        <v>3815</v>
      </c>
    </row>
    <row r="117" spans="2:7">
      <c r="B117" s="56">
        <v>106</v>
      </c>
      <c r="C117" s="51" t="s">
        <v>3776</v>
      </c>
      <c r="D117" s="51">
        <v>8161564659</v>
      </c>
      <c r="E117" s="51" t="s">
        <v>43</v>
      </c>
      <c r="F117" s="51" t="s">
        <v>568</v>
      </c>
      <c r="G117" s="51" t="s">
        <v>3815</v>
      </c>
    </row>
    <row r="118" spans="2:7">
      <c r="B118" s="56">
        <v>107</v>
      </c>
      <c r="C118" s="51" t="s">
        <v>3777</v>
      </c>
      <c r="D118" s="51">
        <v>8139520479</v>
      </c>
      <c r="E118" s="51" t="s">
        <v>77</v>
      </c>
      <c r="F118" s="51" t="s">
        <v>568</v>
      </c>
      <c r="G118" s="51" t="s">
        <v>3816</v>
      </c>
    </row>
    <row r="119" spans="2:7">
      <c r="B119" s="56">
        <v>108</v>
      </c>
      <c r="C119" s="51" t="s">
        <v>3778</v>
      </c>
      <c r="D119" s="51">
        <v>8173194949</v>
      </c>
      <c r="E119" s="51" t="s">
        <v>53</v>
      </c>
      <c r="F119" s="51" t="s">
        <v>568</v>
      </c>
      <c r="G119" s="51" t="s">
        <v>3817</v>
      </c>
    </row>
    <row r="120" spans="2:7">
      <c r="B120" s="56">
        <v>109</v>
      </c>
      <c r="C120" s="51" t="s">
        <v>3779</v>
      </c>
      <c r="D120" s="51">
        <v>7068502700</v>
      </c>
      <c r="E120" s="51" t="s">
        <v>77</v>
      </c>
      <c r="F120" s="51" t="s">
        <v>561</v>
      </c>
      <c r="G120" s="51" t="s">
        <v>3818</v>
      </c>
    </row>
    <row r="121" spans="2:7">
      <c r="B121" s="56">
        <v>110</v>
      </c>
      <c r="C121" s="51" t="s">
        <v>3780</v>
      </c>
      <c r="D121" s="51">
        <v>8163576049</v>
      </c>
      <c r="E121" s="51" t="s">
        <v>64</v>
      </c>
      <c r="F121" s="51" t="s">
        <v>568</v>
      </c>
      <c r="G121" s="51" t="s">
        <v>3819</v>
      </c>
    </row>
    <row r="122" spans="2:7">
      <c r="B122" s="56">
        <v>111</v>
      </c>
      <c r="C122" s="51" t="s">
        <v>3781</v>
      </c>
      <c r="D122" s="51">
        <v>8139122555</v>
      </c>
      <c r="E122" s="51" t="s">
        <v>2768</v>
      </c>
      <c r="F122" s="51" t="s">
        <v>568</v>
      </c>
      <c r="G122" s="53">
        <v>42309</v>
      </c>
    </row>
    <row r="123" spans="2:7">
      <c r="B123" s="56">
        <v>112</v>
      </c>
      <c r="C123" s="51" t="s">
        <v>3782</v>
      </c>
      <c r="D123" s="51">
        <v>8138393068</v>
      </c>
      <c r="E123" s="51" t="s">
        <v>64</v>
      </c>
      <c r="F123" s="51" t="s">
        <v>561</v>
      </c>
      <c r="G123" s="53">
        <v>11232</v>
      </c>
    </row>
    <row r="124" spans="2:7">
      <c r="B124" s="56">
        <v>113</v>
      </c>
      <c r="C124" s="51" t="s">
        <v>3783</v>
      </c>
      <c r="D124" s="51">
        <v>8166924356</v>
      </c>
      <c r="E124" s="51" t="s">
        <v>2768</v>
      </c>
      <c r="F124" s="51" t="s">
        <v>568</v>
      </c>
      <c r="G124" s="53">
        <v>41548</v>
      </c>
    </row>
    <row r="125" spans="2:7">
      <c r="B125" s="56">
        <v>114</v>
      </c>
      <c r="C125" s="51" t="s">
        <v>3784</v>
      </c>
      <c r="D125" s="51">
        <v>9030707561</v>
      </c>
      <c r="E125" s="51" t="s">
        <v>77</v>
      </c>
      <c r="F125" s="51" t="s">
        <v>12</v>
      </c>
      <c r="G125" s="53">
        <v>44774</v>
      </c>
    </row>
    <row r="126" spans="2:7">
      <c r="B126" s="56">
        <v>115</v>
      </c>
      <c r="C126" s="51" t="s">
        <v>3785</v>
      </c>
      <c r="D126" s="51">
        <v>8062845148</v>
      </c>
      <c r="E126" s="51" t="s">
        <v>53</v>
      </c>
      <c r="F126" s="51" t="s">
        <v>568</v>
      </c>
      <c r="G126" s="53">
        <v>43678</v>
      </c>
    </row>
    <row r="127" spans="2:7">
      <c r="B127" s="56">
        <v>116</v>
      </c>
      <c r="C127" s="51" t="s">
        <v>3786</v>
      </c>
      <c r="D127" s="51">
        <v>8140070524</v>
      </c>
      <c r="E127" s="51" t="s">
        <v>64</v>
      </c>
      <c r="F127" s="51" t="s">
        <v>568</v>
      </c>
      <c r="G127" s="53">
        <v>47027</v>
      </c>
    </row>
    <row r="128" spans="2:7">
      <c r="B128" s="56">
        <v>117</v>
      </c>
      <c r="C128" s="51" t="s">
        <v>3787</v>
      </c>
      <c r="D128" s="51">
        <v>8163060676</v>
      </c>
      <c r="E128" s="51" t="s">
        <v>43</v>
      </c>
      <c r="F128" s="51" t="s">
        <v>568</v>
      </c>
      <c r="G128" s="53">
        <v>36892</v>
      </c>
    </row>
    <row r="129" spans="2:7">
      <c r="B129" s="56">
        <v>118</v>
      </c>
      <c r="C129" s="51" t="s">
        <v>3788</v>
      </c>
      <c r="D129" s="51">
        <v>8104884510</v>
      </c>
      <c r="E129" s="51" t="s">
        <v>75</v>
      </c>
      <c r="F129" s="51" t="s">
        <v>9</v>
      </c>
      <c r="G129" s="53">
        <v>41153</v>
      </c>
    </row>
    <row r="130" spans="2:7">
      <c r="B130" s="56">
        <v>119</v>
      </c>
      <c r="C130" s="51" t="s">
        <v>3789</v>
      </c>
      <c r="D130" s="51">
        <v>8066190308</v>
      </c>
      <c r="E130" s="51" t="s">
        <v>77</v>
      </c>
      <c r="F130" s="51" t="s">
        <v>12</v>
      </c>
      <c r="G130" s="53">
        <v>47209</v>
      </c>
    </row>
    <row r="131" spans="2:7">
      <c r="B131" s="56">
        <v>120</v>
      </c>
      <c r="C131" s="51" t="s">
        <v>3790</v>
      </c>
      <c r="D131" s="51">
        <v>8134276692</v>
      </c>
      <c r="E131" s="51" t="s">
        <v>75</v>
      </c>
      <c r="F131" s="51" t="s">
        <v>12</v>
      </c>
      <c r="G131" s="53">
        <v>47088</v>
      </c>
    </row>
    <row r="132" spans="2:7">
      <c r="B132" s="56">
        <v>121</v>
      </c>
      <c r="C132" s="51" t="s">
        <v>3791</v>
      </c>
      <c r="D132" s="51">
        <v>8167831975</v>
      </c>
      <c r="E132" s="51" t="s">
        <v>75</v>
      </c>
      <c r="F132" s="51" t="s">
        <v>12</v>
      </c>
      <c r="G132" s="53">
        <v>43709</v>
      </c>
    </row>
    <row r="133" spans="2:7">
      <c r="B133" s="56">
        <v>122</v>
      </c>
      <c r="C133" s="51" t="s">
        <v>3792</v>
      </c>
      <c r="D133" s="51">
        <v>8133890921</v>
      </c>
      <c r="E133" s="51" t="s">
        <v>43</v>
      </c>
      <c r="F133" s="51" t="s">
        <v>12</v>
      </c>
      <c r="G133" s="53">
        <v>39783</v>
      </c>
    </row>
    <row r="134" spans="2:7">
      <c r="B134" s="56">
        <v>123</v>
      </c>
      <c r="C134" s="51" t="s">
        <v>3793</v>
      </c>
      <c r="D134" s="51">
        <v>8169429839</v>
      </c>
      <c r="E134" s="51" t="s">
        <v>77</v>
      </c>
      <c r="F134" s="51" t="s">
        <v>12</v>
      </c>
      <c r="G134" s="53">
        <v>43922</v>
      </c>
    </row>
    <row r="135" spans="2:7">
      <c r="B135" s="56">
        <v>124</v>
      </c>
      <c r="C135" s="51" t="s">
        <v>3820</v>
      </c>
      <c r="D135" s="51">
        <v>7036369685</v>
      </c>
      <c r="E135" s="51" t="s">
        <v>2145</v>
      </c>
      <c r="F135" s="51" t="s">
        <v>561</v>
      </c>
      <c r="G135" s="51" t="s">
        <v>3830</v>
      </c>
    </row>
    <row r="136" spans="2:7">
      <c r="B136" s="56">
        <v>125</v>
      </c>
      <c r="C136" s="51" t="s">
        <v>3821</v>
      </c>
      <c r="D136" s="51">
        <v>8060056935</v>
      </c>
      <c r="E136" s="51" t="s">
        <v>57</v>
      </c>
      <c r="F136" s="51" t="s">
        <v>3708</v>
      </c>
      <c r="G136" s="51" t="s">
        <v>3831</v>
      </c>
    </row>
    <row r="137" spans="2:7">
      <c r="B137" s="56">
        <v>126</v>
      </c>
      <c r="C137" s="51" t="s">
        <v>3822</v>
      </c>
      <c r="D137" s="51">
        <v>8082901564</v>
      </c>
      <c r="E137" s="51" t="s">
        <v>162</v>
      </c>
      <c r="F137" s="51" t="s">
        <v>561</v>
      </c>
      <c r="G137" s="51" t="s">
        <v>3832</v>
      </c>
    </row>
    <row r="138" spans="2:7">
      <c r="B138" s="56">
        <v>127</v>
      </c>
      <c r="C138" s="51" t="s">
        <v>3823</v>
      </c>
      <c r="D138" s="51">
        <v>8132702356</v>
      </c>
      <c r="E138" s="51" t="s">
        <v>57</v>
      </c>
      <c r="F138" s="51" t="s">
        <v>568</v>
      </c>
      <c r="G138" s="51" t="s">
        <v>3712</v>
      </c>
    </row>
    <row r="139" spans="2:7">
      <c r="B139" s="56">
        <v>128</v>
      </c>
      <c r="C139" s="51" t="s">
        <v>3824</v>
      </c>
      <c r="D139" s="51">
        <v>8090742214</v>
      </c>
      <c r="E139" s="51" t="s">
        <v>57</v>
      </c>
      <c r="F139" s="51" t="s">
        <v>568</v>
      </c>
      <c r="G139" s="51" t="s">
        <v>3833</v>
      </c>
    </row>
    <row r="140" spans="2:7">
      <c r="B140" s="56">
        <v>129</v>
      </c>
      <c r="C140" s="51" t="s">
        <v>3825</v>
      </c>
      <c r="D140" s="51">
        <v>8100518502</v>
      </c>
      <c r="E140" s="51"/>
      <c r="F140" s="51" t="s">
        <v>568</v>
      </c>
      <c r="G140" s="51" t="s">
        <v>3834</v>
      </c>
    </row>
    <row r="141" spans="2:7">
      <c r="B141" s="56">
        <v>130</v>
      </c>
      <c r="C141" s="51" t="s">
        <v>3826</v>
      </c>
      <c r="D141" s="51">
        <v>9053267542</v>
      </c>
      <c r="E141" s="51" t="s">
        <v>162</v>
      </c>
      <c r="F141" s="51" t="s">
        <v>3708</v>
      </c>
      <c r="G141" s="51" t="s">
        <v>3835</v>
      </c>
    </row>
    <row r="142" spans="2:7">
      <c r="B142" s="56">
        <v>131</v>
      </c>
      <c r="C142" s="51" t="s">
        <v>3827</v>
      </c>
      <c r="D142" s="51">
        <v>8132962361</v>
      </c>
      <c r="E142" s="51" t="s">
        <v>57</v>
      </c>
      <c r="F142" s="51" t="s">
        <v>568</v>
      </c>
      <c r="G142" s="51" t="s">
        <v>3836</v>
      </c>
    </row>
    <row r="143" spans="2:7">
      <c r="B143" s="56">
        <v>132</v>
      </c>
      <c r="C143" s="51" t="s">
        <v>3828</v>
      </c>
      <c r="D143" s="51">
        <v>8161999422</v>
      </c>
      <c r="E143" s="51" t="s">
        <v>2145</v>
      </c>
      <c r="F143" s="51" t="s">
        <v>3708</v>
      </c>
      <c r="G143" s="51" t="s">
        <v>3837</v>
      </c>
    </row>
    <row r="144" spans="2:7">
      <c r="B144" s="56">
        <v>133</v>
      </c>
      <c r="C144" s="51" t="s">
        <v>3829</v>
      </c>
      <c r="D144" s="51">
        <v>9067252265</v>
      </c>
      <c r="E144" s="51" t="s">
        <v>162</v>
      </c>
      <c r="F144" s="51" t="s">
        <v>568</v>
      </c>
      <c r="G144" s="51" t="s">
        <v>3838</v>
      </c>
    </row>
    <row r="145" spans="2:7">
      <c r="B145" s="56">
        <v>134</v>
      </c>
      <c r="C145" s="51" t="s">
        <v>3839</v>
      </c>
      <c r="D145" s="51">
        <v>8165906106</v>
      </c>
      <c r="E145" s="51" t="s">
        <v>10</v>
      </c>
      <c r="F145" s="51" t="s">
        <v>568</v>
      </c>
      <c r="G145" s="51" t="s">
        <v>3617</v>
      </c>
    </row>
    <row r="146" spans="2:7">
      <c r="B146" s="56">
        <v>135</v>
      </c>
      <c r="C146" s="51" t="s">
        <v>3840</v>
      </c>
      <c r="D146" s="51">
        <v>7030736633</v>
      </c>
      <c r="E146" s="51" t="s">
        <v>27</v>
      </c>
      <c r="F146" s="51" t="s">
        <v>568</v>
      </c>
      <c r="G146" s="51" t="s">
        <v>3878</v>
      </c>
    </row>
    <row r="147" spans="2:7">
      <c r="B147" s="56">
        <v>136</v>
      </c>
      <c r="C147" s="51" t="s">
        <v>3841</v>
      </c>
      <c r="D147" s="51">
        <v>8162010074</v>
      </c>
      <c r="E147" s="51" t="s">
        <v>16</v>
      </c>
      <c r="F147" s="51" t="s">
        <v>3653</v>
      </c>
      <c r="G147" s="51" t="s">
        <v>3879</v>
      </c>
    </row>
    <row r="148" spans="2:7">
      <c r="B148" s="56">
        <v>137</v>
      </c>
      <c r="C148" s="51" t="s">
        <v>3842</v>
      </c>
      <c r="D148" s="51">
        <v>7036767319</v>
      </c>
      <c r="E148" s="51" t="s">
        <v>27</v>
      </c>
      <c r="F148" s="51" t="s">
        <v>568</v>
      </c>
      <c r="G148" s="51" t="s">
        <v>3880</v>
      </c>
    </row>
    <row r="149" spans="2:7">
      <c r="B149" s="56">
        <v>138</v>
      </c>
      <c r="C149" s="51" t="s">
        <v>3843</v>
      </c>
      <c r="D149" s="51">
        <v>8102810229</v>
      </c>
      <c r="E149" s="51" t="s">
        <v>33</v>
      </c>
      <c r="F149" s="51" t="s">
        <v>568</v>
      </c>
      <c r="G149" s="51" t="s">
        <v>3881</v>
      </c>
    </row>
    <row r="150" spans="2:7">
      <c r="B150" s="56">
        <v>139</v>
      </c>
      <c r="C150" s="51" t="s">
        <v>3844</v>
      </c>
      <c r="D150" s="51">
        <v>8163439521</v>
      </c>
      <c r="E150" s="51" t="s">
        <v>118</v>
      </c>
      <c r="F150" s="51" t="s">
        <v>3708</v>
      </c>
      <c r="G150" s="51" t="s">
        <v>3882</v>
      </c>
    </row>
    <row r="151" spans="2:7">
      <c r="B151" s="56">
        <v>140</v>
      </c>
      <c r="C151" s="51" t="s">
        <v>3845</v>
      </c>
      <c r="D151" s="51">
        <v>7060737565</v>
      </c>
      <c r="E151" s="51" t="s">
        <v>38</v>
      </c>
      <c r="F151" s="51" t="s">
        <v>568</v>
      </c>
      <c r="G151" s="51" t="s">
        <v>3883</v>
      </c>
    </row>
    <row r="152" spans="2:7">
      <c r="B152" s="56">
        <v>141</v>
      </c>
      <c r="C152" s="51" t="s">
        <v>3846</v>
      </c>
      <c r="D152" s="51">
        <v>8068257936</v>
      </c>
      <c r="E152" s="51" t="s">
        <v>118</v>
      </c>
      <c r="F152" s="51" t="s">
        <v>3708</v>
      </c>
      <c r="G152" s="51" t="s">
        <v>3884</v>
      </c>
    </row>
    <row r="153" spans="2:7">
      <c r="B153" s="56">
        <v>142</v>
      </c>
      <c r="C153" s="51" t="s">
        <v>3847</v>
      </c>
      <c r="D153" s="51">
        <v>8060482404</v>
      </c>
      <c r="E153" s="51" t="s">
        <v>10</v>
      </c>
      <c r="F153" s="51" t="s">
        <v>3653</v>
      </c>
      <c r="G153" s="51" t="s">
        <v>3885</v>
      </c>
    </row>
    <row r="154" spans="2:7">
      <c r="B154" s="56">
        <v>143</v>
      </c>
      <c r="C154" s="51" t="s">
        <v>3848</v>
      </c>
      <c r="D154" s="51">
        <v>8142517846</v>
      </c>
      <c r="E154" s="51" t="s">
        <v>33</v>
      </c>
      <c r="F154" s="51" t="s">
        <v>3708</v>
      </c>
      <c r="G154" s="51" t="s">
        <v>3886</v>
      </c>
    </row>
    <row r="155" spans="2:7">
      <c r="B155" s="56">
        <v>144</v>
      </c>
      <c r="C155" s="51" t="s">
        <v>3849</v>
      </c>
      <c r="D155" s="51">
        <v>7033157618</v>
      </c>
      <c r="E155" s="51" t="s">
        <v>16</v>
      </c>
      <c r="F155" s="51" t="s">
        <v>561</v>
      </c>
      <c r="G155" s="51" t="s">
        <v>3887</v>
      </c>
    </row>
    <row r="156" spans="2:7">
      <c r="B156" s="56">
        <v>145</v>
      </c>
      <c r="C156" s="51" t="s">
        <v>3850</v>
      </c>
      <c r="D156" s="51">
        <v>8143863689</v>
      </c>
      <c r="E156" s="51" t="s">
        <v>10</v>
      </c>
      <c r="F156" s="51" t="s">
        <v>561</v>
      </c>
      <c r="G156" s="51" t="s">
        <v>3798</v>
      </c>
    </row>
    <row r="157" spans="2:7">
      <c r="B157" s="56">
        <v>146</v>
      </c>
      <c r="C157" s="51" t="s">
        <v>3851</v>
      </c>
      <c r="D157" s="51">
        <v>903034477</v>
      </c>
      <c r="E157" s="51" t="s">
        <v>118</v>
      </c>
      <c r="F157" s="51" t="s">
        <v>3708</v>
      </c>
      <c r="G157" s="51" t="s">
        <v>3714</v>
      </c>
    </row>
    <row r="158" spans="2:7">
      <c r="B158" s="56">
        <v>147</v>
      </c>
      <c r="C158" s="51" t="s">
        <v>3852</v>
      </c>
      <c r="D158" s="51">
        <v>8094782096</v>
      </c>
      <c r="E158" s="51" t="s">
        <v>38</v>
      </c>
      <c r="F158" s="51" t="s">
        <v>561</v>
      </c>
      <c r="G158" s="51" t="s">
        <v>3888</v>
      </c>
    </row>
    <row r="159" spans="2:7">
      <c r="B159" s="56">
        <v>148</v>
      </c>
      <c r="C159" s="51" t="s">
        <v>3853</v>
      </c>
      <c r="D159" s="51">
        <v>8033780394</v>
      </c>
      <c r="E159" s="51" t="s">
        <v>33</v>
      </c>
      <c r="F159" s="51" t="s">
        <v>568</v>
      </c>
      <c r="G159" s="51" t="s">
        <v>3889</v>
      </c>
    </row>
    <row r="160" spans="2:7">
      <c r="B160" s="56">
        <v>149</v>
      </c>
      <c r="C160" s="51" t="s">
        <v>3854</v>
      </c>
      <c r="D160" s="51">
        <v>8169560365</v>
      </c>
      <c r="E160" s="51" t="s">
        <v>33</v>
      </c>
      <c r="F160" s="51" t="s">
        <v>568</v>
      </c>
      <c r="G160" s="51" t="s">
        <v>3890</v>
      </c>
    </row>
    <row r="161" spans="2:7">
      <c r="B161" s="56">
        <v>150</v>
      </c>
      <c r="C161" s="51" t="s">
        <v>3855</v>
      </c>
      <c r="D161" s="51">
        <v>7069119847</v>
      </c>
      <c r="E161" s="51" t="s">
        <v>27</v>
      </c>
      <c r="F161" s="51" t="s">
        <v>3708</v>
      </c>
      <c r="G161" s="51" t="s">
        <v>3891</v>
      </c>
    </row>
    <row r="162" spans="2:7">
      <c r="B162" s="56">
        <v>151</v>
      </c>
      <c r="C162" s="51" t="s">
        <v>3856</v>
      </c>
      <c r="D162" s="51">
        <v>8164706626</v>
      </c>
      <c r="E162" s="51" t="s">
        <v>16</v>
      </c>
      <c r="F162" s="51" t="s">
        <v>561</v>
      </c>
      <c r="G162" s="51" t="s">
        <v>3892</v>
      </c>
    </row>
    <row r="163" spans="2:7">
      <c r="B163" s="56">
        <v>152</v>
      </c>
      <c r="C163" s="51" t="s">
        <v>3857</v>
      </c>
      <c r="D163" s="51">
        <v>8098901284</v>
      </c>
      <c r="E163" s="51" t="s">
        <v>118</v>
      </c>
      <c r="F163" s="51" t="s">
        <v>568</v>
      </c>
      <c r="G163" s="51" t="s">
        <v>3893</v>
      </c>
    </row>
    <row r="164" spans="2:7">
      <c r="B164" s="56">
        <v>153</v>
      </c>
      <c r="C164" s="51" t="s">
        <v>3858</v>
      </c>
      <c r="D164" s="51">
        <v>7068992952</v>
      </c>
      <c r="E164" s="51" t="s">
        <v>38</v>
      </c>
      <c r="F164" s="51" t="s">
        <v>568</v>
      </c>
      <c r="G164" s="51" t="s">
        <v>3894</v>
      </c>
    </row>
    <row r="165" spans="2:7">
      <c r="B165" s="56">
        <v>154</v>
      </c>
      <c r="C165" s="51" t="s">
        <v>3859</v>
      </c>
      <c r="D165" s="51">
        <v>8137834079</v>
      </c>
      <c r="E165" s="51" t="s">
        <v>38</v>
      </c>
      <c r="F165" s="51" t="s">
        <v>3708</v>
      </c>
      <c r="G165" s="51" t="s">
        <v>3895</v>
      </c>
    </row>
    <row r="166" spans="2:7">
      <c r="B166" s="56">
        <v>155</v>
      </c>
      <c r="C166" s="51" t="s">
        <v>3860</v>
      </c>
      <c r="D166" s="51">
        <v>7032309229</v>
      </c>
      <c r="E166" s="51" t="s">
        <v>38</v>
      </c>
      <c r="F166" s="51" t="s">
        <v>568</v>
      </c>
      <c r="G166" s="51" t="s">
        <v>3896</v>
      </c>
    </row>
    <row r="167" spans="2:7">
      <c r="B167" s="56">
        <v>156</v>
      </c>
      <c r="C167" s="51" t="s">
        <v>3861</v>
      </c>
      <c r="D167" s="51">
        <v>8177544287</v>
      </c>
      <c r="E167" s="51" t="s">
        <v>10</v>
      </c>
      <c r="F167" s="51" t="s">
        <v>561</v>
      </c>
      <c r="G167" s="51" t="s">
        <v>3897</v>
      </c>
    </row>
    <row r="168" spans="2:7">
      <c r="B168" s="56">
        <v>157</v>
      </c>
      <c r="C168" s="51" t="s">
        <v>3862</v>
      </c>
      <c r="D168" s="51">
        <v>7062373862</v>
      </c>
      <c r="E168" s="51" t="s">
        <v>27</v>
      </c>
      <c r="F168" s="51" t="s">
        <v>3708</v>
      </c>
      <c r="G168" s="51" t="s">
        <v>3814</v>
      </c>
    </row>
    <row r="169" spans="2:7">
      <c r="B169" s="56">
        <v>158</v>
      </c>
      <c r="C169" s="51" t="s">
        <v>3863</v>
      </c>
      <c r="D169" s="51">
        <v>7052616079</v>
      </c>
      <c r="E169" s="51" t="s">
        <v>10</v>
      </c>
      <c r="F169" s="51" t="s">
        <v>561</v>
      </c>
      <c r="G169" s="51" t="s">
        <v>3898</v>
      </c>
    </row>
    <row r="170" spans="2:7">
      <c r="B170" s="56">
        <v>159</v>
      </c>
      <c r="C170" s="51" t="s">
        <v>3864</v>
      </c>
      <c r="D170" s="51">
        <v>8122395570</v>
      </c>
      <c r="E170" s="51" t="s">
        <v>27</v>
      </c>
      <c r="F170" s="51" t="s">
        <v>568</v>
      </c>
      <c r="G170" s="51" t="s">
        <v>3899</v>
      </c>
    </row>
    <row r="171" spans="2:7">
      <c r="B171" s="56">
        <v>160</v>
      </c>
      <c r="C171" s="51" t="s">
        <v>3865</v>
      </c>
      <c r="D171" s="51">
        <v>8132873922</v>
      </c>
      <c r="E171" s="51" t="s">
        <v>38</v>
      </c>
      <c r="F171" s="51" t="s">
        <v>568</v>
      </c>
      <c r="G171" s="51" t="s">
        <v>3900</v>
      </c>
    </row>
    <row r="172" spans="2:7">
      <c r="B172" s="56">
        <v>161</v>
      </c>
      <c r="C172" s="51" t="s">
        <v>3866</v>
      </c>
      <c r="D172" s="51">
        <v>8034284482</v>
      </c>
      <c r="E172" s="51" t="s">
        <v>27</v>
      </c>
      <c r="F172" s="51" t="s">
        <v>561</v>
      </c>
      <c r="G172" s="51" t="s">
        <v>3900</v>
      </c>
    </row>
    <row r="173" spans="2:7">
      <c r="B173" s="56">
        <v>162</v>
      </c>
      <c r="C173" s="51" t="s">
        <v>3867</v>
      </c>
      <c r="D173" s="51">
        <v>8166013009</v>
      </c>
      <c r="E173" s="51" t="s">
        <v>38</v>
      </c>
      <c r="F173" s="51" t="s">
        <v>568</v>
      </c>
      <c r="G173" s="51" t="s">
        <v>3901</v>
      </c>
    </row>
    <row r="174" spans="2:7">
      <c r="B174" s="56">
        <v>163</v>
      </c>
      <c r="C174" s="51" t="s">
        <v>3868</v>
      </c>
      <c r="D174" s="51">
        <v>8093506625</v>
      </c>
      <c r="E174" s="51" t="s">
        <v>118</v>
      </c>
      <c r="F174" s="51" t="s">
        <v>568</v>
      </c>
      <c r="G174" s="51" t="s">
        <v>3818</v>
      </c>
    </row>
    <row r="175" spans="2:7">
      <c r="B175" s="56">
        <v>164</v>
      </c>
      <c r="C175" s="51" t="s">
        <v>3869</v>
      </c>
      <c r="D175" s="51">
        <v>8167173641</v>
      </c>
      <c r="E175" s="51" t="s">
        <v>16</v>
      </c>
      <c r="F175" s="51" t="s">
        <v>561</v>
      </c>
      <c r="G175" s="51" t="s">
        <v>3749</v>
      </c>
    </row>
    <row r="176" spans="2:7">
      <c r="B176" s="56">
        <v>165</v>
      </c>
      <c r="C176" s="51" t="s">
        <v>3870</v>
      </c>
      <c r="D176" s="51">
        <v>8149512420</v>
      </c>
      <c r="E176" s="51" t="s">
        <v>27</v>
      </c>
      <c r="F176" s="51" t="s">
        <v>568</v>
      </c>
      <c r="G176" s="51"/>
    </row>
    <row r="177" spans="2:7">
      <c r="B177" s="56">
        <v>166</v>
      </c>
      <c r="C177" s="51" t="s">
        <v>3871</v>
      </c>
      <c r="D177" s="51">
        <v>8062723471</v>
      </c>
      <c r="E177" s="51" t="s">
        <v>27</v>
      </c>
      <c r="F177" s="51" t="s">
        <v>568</v>
      </c>
      <c r="G177" s="53">
        <v>37469</v>
      </c>
    </row>
    <row r="178" spans="2:7">
      <c r="B178" s="56">
        <v>167</v>
      </c>
      <c r="C178" s="51" t="s">
        <v>3872</v>
      </c>
      <c r="D178" s="51">
        <v>8162319146</v>
      </c>
      <c r="E178" s="51" t="s">
        <v>29</v>
      </c>
      <c r="F178" s="51" t="s">
        <v>568</v>
      </c>
      <c r="G178" s="53">
        <v>44348</v>
      </c>
    </row>
    <row r="179" spans="2:7">
      <c r="B179" s="56">
        <v>168</v>
      </c>
      <c r="C179" s="51" t="s">
        <v>2984</v>
      </c>
      <c r="D179" s="51">
        <v>7069248190</v>
      </c>
      <c r="E179" s="51" t="s">
        <v>29</v>
      </c>
      <c r="F179" s="51" t="s">
        <v>568</v>
      </c>
      <c r="G179" s="53">
        <v>41548</v>
      </c>
    </row>
    <row r="180" spans="2:7">
      <c r="B180" s="56">
        <v>169</v>
      </c>
      <c r="C180" s="51" t="s">
        <v>253</v>
      </c>
      <c r="D180" s="51">
        <v>8072139290</v>
      </c>
      <c r="E180" s="51" t="s">
        <v>33</v>
      </c>
      <c r="F180" s="51" t="s">
        <v>568</v>
      </c>
      <c r="G180" s="51" t="s">
        <v>3902</v>
      </c>
    </row>
    <row r="181" spans="2:7">
      <c r="B181" s="56">
        <v>170</v>
      </c>
      <c r="C181" s="51" t="s">
        <v>3873</v>
      </c>
      <c r="D181" s="51">
        <v>9038516909</v>
      </c>
      <c r="E181" s="51" t="s">
        <v>207</v>
      </c>
      <c r="F181" s="51" t="s">
        <v>568</v>
      </c>
      <c r="G181" s="53">
        <v>45597</v>
      </c>
    </row>
    <row r="182" spans="2:7">
      <c r="B182" s="56">
        <v>171</v>
      </c>
      <c r="C182" s="51" t="s">
        <v>3874</v>
      </c>
      <c r="D182" s="51">
        <v>8102768532</v>
      </c>
      <c r="E182" s="51" t="s">
        <v>16</v>
      </c>
      <c r="F182" s="51" t="s">
        <v>9</v>
      </c>
      <c r="G182" s="53">
        <v>38718</v>
      </c>
    </row>
    <row r="183" spans="2:7">
      <c r="B183" s="56">
        <v>172</v>
      </c>
      <c r="C183" s="51" t="s">
        <v>3875</v>
      </c>
      <c r="D183" s="51">
        <v>8103831802</v>
      </c>
      <c r="E183" s="51" t="s">
        <v>29</v>
      </c>
      <c r="F183" s="51" t="s">
        <v>12</v>
      </c>
      <c r="G183" s="53">
        <v>45383</v>
      </c>
    </row>
    <row r="184" spans="2:7">
      <c r="B184" s="56">
        <v>173</v>
      </c>
      <c r="C184" s="50" t="s">
        <v>3876</v>
      </c>
      <c r="D184" s="50">
        <v>8106095060</v>
      </c>
      <c r="E184" s="51" t="s">
        <v>38</v>
      </c>
      <c r="F184" s="50" t="s">
        <v>12</v>
      </c>
      <c r="G184" s="57">
        <v>46631</v>
      </c>
    </row>
    <row r="185" spans="2:7">
      <c r="B185" s="56">
        <v>174</v>
      </c>
      <c r="C185" s="50" t="s">
        <v>3877</v>
      </c>
      <c r="D185" s="50">
        <v>8177544287</v>
      </c>
      <c r="E185" s="50" t="s">
        <v>10</v>
      </c>
      <c r="F185" s="50" t="s">
        <v>9</v>
      </c>
      <c r="G185" s="57">
        <v>44105</v>
      </c>
    </row>
    <row r="186" spans="2:7">
      <c r="B186" s="56"/>
    </row>
    <row r="187" spans="2:7">
      <c r="B187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J304"/>
  <sheetViews>
    <sheetView topLeftCell="H1" workbookViewId="0">
      <selection activeCell="J11" sqref="J11"/>
    </sheetView>
  </sheetViews>
  <sheetFormatPr defaultColWidth="9" defaultRowHeight="15"/>
  <cols>
    <col min="1" max="2" width="8.5703125" customWidth="1"/>
    <col min="3" max="3" width="4.7109375" customWidth="1"/>
    <col min="4" max="4" width="24.140625" customWidth="1"/>
    <col min="5" max="6" width="7.140625" customWidth="1"/>
    <col min="7" max="7" width="13.42578125" customWidth="1"/>
    <col min="8" max="8" width="31" customWidth="1"/>
    <col min="9" max="9" width="7" customWidth="1"/>
    <col min="10" max="256" width="8.5703125" customWidth="1"/>
  </cols>
  <sheetData>
    <row r="2" spans="3:10" ht="15.75">
      <c r="C2" s="42"/>
      <c r="D2" s="43"/>
      <c r="F2" s="44" t="s">
        <v>0</v>
      </c>
      <c r="G2" s="42"/>
    </row>
    <row r="3" spans="3:10" ht="15.75">
      <c r="C3" s="42"/>
      <c r="D3" s="43"/>
      <c r="F3" s="44" t="s">
        <v>1</v>
      </c>
      <c r="G3" s="42"/>
    </row>
    <row r="4" spans="3:10" ht="15.75">
      <c r="C4" s="42"/>
      <c r="D4" s="45"/>
      <c r="F4" s="46" t="s">
        <v>2</v>
      </c>
      <c r="G4" s="42"/>
    </row>
    <row r="5" spans="3:10" ht="15.75">
      <c r="C5" s="42"/>
      <c r="D5" s="45"/>
      <c r="F5" s="46"/>
      <c r="G5" s="42"/>
    </row>
    <row r="6" spans="3:10">
      <c r="C6" s="60" t="s">
        <v>3115</v>
      </c>
      <c r="D6" s="61"/>
      <c r="E6" s="61"/>
      <c r="F6" s="61"/>
      <c r="G6" s="61"/>
    </row>
    <row r="7" spans="3:10" ht="15.75">
      <c r="C7" s="62" t="s">
        <v>553</v>
      </c>
      <c r="D7" s="61"/>
      <c r="E7" s="61"/>
      <c r="F7" s="61"/>
      <c r="G7" s="61"/>
    </row>
    <row r="8" spans="3:10" ht="23.25">
      <c r="C8" s="63"/>
    </row>
    <row r="9" spans="3:10" ht="24">
      <c r="C9" s="64" t="s">
        <v>3</v>
      </c>
      <c r="D9" s="65" t="s">
        <v>2424</v>
      </c>
      <c r="E9" s="65" t="s">
        <v>2425</v>
      </c>
      <c r="F9" s="65" t="s">
        <v>1465</v>
      </c>
      <c r="G9" s="65" t="s">
        <v>954</v>
      </c>
      <c r="H9" s="65" t="s">
        <v>2426</v>
      </c>
      <c r="I9" s="65" t="s">
        <v>2427</v>
      </c>
      <c r="J9" s="65" t="s">
        <v>558</v>
      </c>
    </row>
    <row r="10" spans="3:10">
      <c r="C10" s="66">
        <v>1</v>
      </c>
      <c r="D10" s="67" t="s">
        <v>2428</v>
      </c>
      <c r="E10" s="67" t="s">
        <v>2429</v>
      </c>
      <c r="F10" s="67" t="s">
        <v>57</v>
      </c>
      <c r="G10" s="67">
        <v>8189593722</v>
      </c>
      <c r="H10" s="67"/>
      <c r="I10" s="67" t="s">
        <v>12</v>
      </c>
      <c r="J10" s="67" t="s">
        <v>2430</v>
      </c>
    </row>
    <row r="11" spans="3:10">
      <c r="C11" s="66">
        <v>2</v>
      </c>
      <c r="D11" s="67" t="s">
        <v>2431</v>
      </c>
      <c r="E11" s="67" t="s">
        <v>2432</v>
      </c>
      <c r="F11" s="67" t="s">
        <v>10</v>
      </c>
      <c r="G11" s="67">
        <v>7038971302</v>
      </c>
      <c r="H11" s="67" t="s">
        <v>2433</v>
      </c>
      <c r="I11" s="67"/>
      <c r="J11" s="67" t="s">
        <v>2434</v>
      </c>
    </row>
    <row r="12" spans="3:10">
      <c r="C12" s="66">
        <v>3</v>
      </c>
      <c r="D12" s="67" t="s">
        <v>2435</v>
      </c>
      <c r="E12" s="67" t="s">
        <v>2436</v>
      </c>
      <c r="F12" s="67" t="s">
        <v>218</v>
      </c>
      <c r="G12" s="67">
        <v>8117659288</v>
      </c>
      <c r="H12" s="68" t="s">
        <v>2437</v>
      </c>
      <c r="I12" s="67" t="s">
        <v>9</v>
      </c>
      <c r="J12" s="67" t="s">
        <v>2434</v>
      </c>
    </row>
    <row r="13" spans="3:10">
      <c r="C13" s="66">
        <v>4</v>
      </c>
      <c r="D13" s="67" t="s">
        <v>2438</v>
      </c>
      <c r="E13" s="67" t="s">
        <v>2436</v>
      </c>
      <c r="F13" s="67" t="s">
        <v>25</v>
      </c>
      <c r="G13" s="67">
        <v>8181722349</v>
      </c>
      <c r="H13" s="68" t="s">
        <v>2439</v>
      </c>
      <c r="I13" s="67"/>
      <c r="J13" s="67" t="s">
        <v>2440</v>
      </c>
    </row>
    <row r="14" spans="3:10" ht="24">
      <c r="C14" s="66">
        <v>5</v>
      </c>
      <c r="D14" s="67" t="s">
        <v>2441</v>
      </c>
      <c r="E14" s="67" t="s">
        <v>2442</v>
      </c>
      <c r="F14" s="67" t="s">
        <v>31</v>
      </c>
      <c r="G14" s="67">
        <v>7061008645</v>
      </c>
      <c r="H14" s="69"/>
      <c r="I14" s="67"/>
      <c r="J14" s="67" t="s">
        <v>2443</v>
      </c>
    </row>
    <row r="15" spans="3:10">
      <c r="C15" s="66">
        <v>6</v>
      </c>
      <c r="D15" s="67" t="s">
        <v>2444</v>
      </c>
      <c r="E15" s="67" t="s">
        <v>2445</v>
      </c>
      <c r="F15" s="67" t="s">
        <v>144</v>
      </c>
      <c r="G15" s="67">
        <v>8069133140</v>
      </c>
      <c r="H15" s="68" t="s">
        <v>2446</v>
      </c>
      <c r="I15" s="67"/>
      <c r="J15" s="67" t="s">
        <v>2447</v>
      </c>
    </row>
    <row r="16" spans="3:10">
      <c r="C16" s="66">
        <v>7</v>
      </c>
      <c r="D16" s="67" t="s">
        <v>2448</v>
      </c>
      <c r="E16" s="67" t="s">
        <v>2449</v>
      </c>
      <c r="F16" s="67" t="s">
        <v>38</v>
      </c>
      <c r="G16" s="67">
        <v>7036330052</v>
      </c>
      <c r="H16" s="67"/>
      <c r="I16" s="67"/>
      <c r="J16" s="67" t="s">
        <v>2447</v>
      </c>
    </row>
    <row r="17" spans="3:10">
      <c r="C17" s="66">
        <v>8</v>
      </c>
      <c r="D17" s="67" t="s">
        <v>2450</v>
      </c>
      <c r="E17" s="67" t="s">
        <v>2451</v>
      </c>
      <c r="F17" s="67" t="s">
        <v>23</v>
      </c>
      <c r="G17" s="67">
        <v>7068366737</v>
      </c>
      <c r="H17" s="68" t="s">
        <v>2452</v>
      </c>
      <c r="I17" s="67"/>
      <c r="J17" s="67" t="s">
        <v>2453</v>
      </c>
    </row>
    <row r="18" spans="3:10">
      <c r="C18" s="66">
        <v>9</v>
      </c>
      <c r="D18" s="67" t="s">
        <v>2454</v>
      </c>
      <c r="E18" s="67"/>
      <c r="F18" s="67"/>
      <c r="G18" s="67"/>
      <c r="H18" s="67" t="s">
        <v>2455</v>
      </c>
      <c r="I18" s="67"/>
      <c r="J18" s="67" t="s">
        <v>2453</v>
      </c>
    </row>
    <row r="19" spans="3:10">
      <c r="C19" s="66">
        <v>10</v>
      </c>
      <c r="D19" s="67" t="s">
        <v>2456</v>
      </c>
      <c r="E19" s="67" t="s">
        <v>2445</v>
      </c>
      <c r="F19" s="67" t="s">
        <v>45</v>
      </c>
      <c r="G19" s="67">
        <v>7032183535</v>
      </c>
      <c r="H19" s="68" t="s">
        <v>2457</v>
      </c>
      <c r="I19" s="67" t="s">
        <v>12</v>
      </c>
      <c r="J19" s="67" t="s">
        <v>2453</v>
      </c>
    </row>
    <row r="20" spans="3:10">
      <c r="C20" s="66">
        <v>11</v>
      </c>
      <c r="D20" s="67" t="s">
        <v>2458</v>
      </c>
      <c r="E20" s="67" t="s">
        <v>2459</v>
      </c>
      <c r="F20" s="67" t="s">
        <v>62</v>
      </c>
      <c r="G20" s="67">
        <v>7069505313</v>
      </c>
      <c r="H20" s="68" t="s">
        <v>2460</v>
      </c>
      <c r="I20" s="67"/>
      <c r="J20" s="67" t="s">
        <v>2461</v>
      </c>
    </row>
    <row r="21" spans="3:10">
      <c r="C21" s="66">
        <v>12</v>
      </c>
      <c r="D21" s="67" t="s">
        <v>2462</v>
      </c>
      <c r="E21" s="67" t="s">
        <v>2463</v>
      </c>
      <c r="F21" s="67" t="s">
        <v>77</v>
      </c>
      <c r="G21" s="67">
        <v>8154028310</v>
      </c>
      <c r="H21" s="67"/>
      <c r="I21" s="67"/>
      <c r="J21" s="67" t="s">
        <v>2464</v>
      </c>
    </row>
    <row r="22" spans="3:10" ht="24">
      <c r="C22" s="66">
        <v>13</v>
      </c>
      <c r="D22" s="67" t="s">
        <v>2465</v>
      </c>
      <c r="E22" s="67" t="s">
        <v>2463</v>
      </c>
      <c r="F22" s="67" t="s">
        <v>53</v>
      </c>
      <c r="G22" s="67">
        <v>8031914407</v>
      </c>
      <c r="H22" s="68" t="s">
        <v>2466</v>
      </c>
      <c r="I22" s="67" t="s">
        <v>9</v>
      </c>
      <c r="J22" s="67" t="s">
        <v>2467</v>
      </c>
    </row>
    <row r="23" spans="3:10" ht="24">
      <c r="C23" s="66">
        <v>14</v>
      </c>
      <c r="D23" s="67" t="s">
        <v>2468</v>
      </c>
      <c r="E23" s="67" t="s">
        <v>2436</v>
      </c>
      <c r="F23" s="67" t="s">
        <v>25</v>
      </c>
      <c r="G23" s="67">
        <v>8163463753</v>
      </c>
      <c r="H23" s="68" t="s">
        <v>2469</v>
      </c>
      <c r="I23" s="67" t="s">
        <v>9</v>
      </c>
      <c r="J23" s="67" t="s">
        <v>2470</v>
      </c>
    </row>
    <row r="24" spans="3:10">
      <c r="C24" s="66">
        <v>15</v>
      </c>
      <c r="D24" s="67" t="s">
        <v>2471</v>
      </c>
      <c r="E24" s="67" t="s">
        <v>2463</v>
      </c>
      <c r="F24" s="67" t="s">
        <v>53</v>
      </c>
      <c r="G24" s="67">
        <v>8105930921</v>
      </c>
      <c r="H24" s="68" t="s">
        <v>2472</v>
      </c>
      <c r="I24" s="67" t="s">
        <v>9</v>
      </c>
      <c r="J24" s="67" t="s">
        <v>2473</v>
      </c>
    </row>
    <row r="25" spans="3:10">
      <c r="C25" s="66">
        <v>16</v>
      </c>
      <c r="D25" s="67" t="s">
        <v>2474</v>
      </c>
      <c r="E25" s="67" t="s">
        <v>2429</v>
      </c>
      <c r="F25" s="67" t="s">
        <v>57</v>
      </c>
      <c r="G25" s="67">
        <v>8162486690</v>
      </c>
      <c r="H25" s="67" t="s">
        <v>2475</v>
      </c>
      <c r="I25" s="67"/>
      <c r="J25" s="67" t="s">
        <v>2476</v>
      </c>
    </row>
    <row r="26" spans="3:10">
      <c r="C26" s="66">
        <v>17</v>
      </c>
      <c r="D26" s="67" t="s">
        <v>2477</v>
      </c>
      <c r="E26" s="67" t="s">
        <v>2442</v>
      </c>
      <c r="F26" s="67" t="s">
        <v>14</v>
      </c>
      <c r="G26" s="67">
        <v>8174413214</v>
      </c>
      <c r="H26" s="68" t="s">
        <v>2478</v>
      </c>
      <c r="I26" s="67"/>
      <c r="J26" s="67" t="s">
        <v>2479</v>
      </c>
    </row>
    <row r="27" spans="3:10">
      <c r="C27" s="66">
        <v>18</v>
      </c>
      <c r="D27" s="67" t="s">
        <v>2480</v>
      </c>
      <c r="E27" s="67" t="s">
        <v>2463</v>
      </c>
      <c r="F27" s="67" t="s">
        <v>43</v>
      </c>
      <c r="G27" s="67">
        <v>8099391761</v>
      </c>
      <c r="H27" s="68" t="s">
        <v>2481</v>
      </c>
      <c r="I27" s="67" t="s">
        <v>12</v>
      </c>
      <c r="J27" s="67" t="s">
        <v>2482</v>
      </c>
    </row>
    <row r="28" spans="3:10">
      <c r="C28" s="66">
        <v>19</v>
      </c>
      <c r="D28" s="67" t="s">
        <v>2483</v>
      </c>
      <c r="E28" s="67" t="s">
        <v>2445</v>
      </c>
      <c r="F28" s="67" t="s">
        <v>19</v>
      </c>
      <c r="G28" s="67">
        <v>8131829834</v>
      </c>
      <c r="H28" s="68" t="s">
        <v>2484</v>
      </c>
      <c r="I28" s="67" t="s">
        <v>12</v>
      </c>
      <c r="J28" s="67" t="s">
        <v>2485</v>
      </c>
    </row>
    <row r="29" spans="3:10">
      <c r="C29" s="66">
        <v>20</v>
      </c>
      <c r="D29" s="67"/>
      <c r="E29" s="67"/>
      <c r="F29" s="67"/>
      <c r="G29" s="67"/>
      <c r="H29" s="67"/>
      <c r="I29" s="67"/>
      <c r="J29" s="67"/>
    </row>
    <row r="30" spans="3:10">
      <c r="C30" s="66">
        <v>21</v>
      </c>
      <c r="D30" s="67" t="s">
        <v>2486</v>
      </c>
      <c r="E30" s="67" t="s">
        <v>2459</v>
      </c>
      <c r="F30" s="67" t="s">
        <v>31</v>
      </c>
      <c r="G30" s="67">
        <v>8106427753</v>
      </c>
      <c r="H30" s="67"/>
      <c r="I30" s="67"/>
      <c r="J30" s="67" t="s">
        <v>2487</v>
      </c>
    </row>
    <row r="31" spans="3:10">
      <c r="C31" s="66">
        <v>22</v>
      </c>
      <c r="D31" s="67" t="s">
        <v>2488</v>
      </c>
      <c r="E31" s="67" t="s">
        <v>2463</v>
      </c>
      <c r="F31" s="67" t="s">
        <v>75</v>
      </c>
      <c r="G31" s="67">
        <v>8130563068</v>
      </c>
      <c r="H31" s="68" t="s">
        <v>2489</v>
      </c>
      <c r="I31" s="67"/>
      <c r="J31" s="67" t="s">
        <v>2490</v>
      </c>
    </row>
    <row r="32" spans="3:10">
      <c r="C32" s="66">
        <v>23</v>
      </c>
      <c r="D32" s="67" t="s">
        <v>2491</v>
      </c>
      <c r="E32" s="67" t="s">
        <v>2463</v>
      </c>
      <c r="F32" s="67" t="s">
        <v>64</v>
      </c>
      <c r="G32" s="67">
        <v>8138986445</v>
      </c>
      <c r="H32" s="67"/>
      <c r="I32" s="67"/>
      <c r="J32" s="67" t="s">
        <v>2492</v>
      </c>
    </row>
    <row r="33" spans="3:10">
      <c r="C33" s="66">
        <v>24</v>
      </c>
      <c r="D33" s="67" t="s">
        <v>2493</v>
      </c>
      <c r="E33" s="67" t="s">
        <v>2494</v>
      </c>
      <c r="F33" s="67" t="s">
        <v>38</v>
      </c>
      <c r="G33" s="67">
        <v>7067694595</v>
      </c>
      <c r="H33" s="68" t="s">
        <v>2495</v>
      </c>
      <c r="I33" s="67"/>
      <c r="J33" s="67" t="s">
        <v>2492</v>
      </c>
    </row>
    <row r="34" spans="3:10">
      <c r="C34" s="66">
        <v>25</v>
      </c>
      <c r="D34" s="67" t="s">
        <v>2496</v>
      </c>
      <c r="E34" s="67" t="s">
        <v>2432</v>
      </c>
      <c r="F34" s="67" t="s">
        <v>207</v>
      </c>
      <c r="G34" s="67">
        <v>7061945695</v>
      </c>
      <c r="H34" s="68" t="s">
        <v>2497</v>
      </c>
      <c r="I34" s="67"/>
      <c r="J34" s="67" t="s">
        <v>2492</v>
      </c>
    </row>
    <row r="35" spans="3:10">
      <c r="C35" s="66">
        <v>26</v>
      </c>
      <c r="D35" s="67" t="s">
        <v>2498</v>
      </c>
      <c r="E35" s="67" t="s">
        <v>2432</v>
      </c>
      <c r="F35" s="67" t="s">
        <v>118</v>
      </c>
      <c r="G35" s="67">
        <v>8107019302</v>
      </c>
      <c r="H35" s="68" t="s">
        <v>2499</v>
      </c>
      <c r="I35" s="67"/>
      <c r="J35" s="67" t="s">
        <v>2500</v>
      </c>
    </row>
    <row r="36" spans="3:10">
      <c r="C36" s="66">
        <v>27</v>
      </c>
      <c r="D36" s="67" t="s">
        <v>2501</v>
      </c>
      <c r="E36" s="67" t="s">
        <v>2442</v>
      </c>
      <c r="F36" s="67" t="s">
        <v>62</v>
      </c>
      <c r="G36" s="67">
        <v>8090964880</v>
      </c>
      <c r="H36" s="68" t="s">
        <v>2502</v>
      </c>
      <c r="I36" s="67" t="s">
        <v>12</v>
      </c>
      <c r="J36" s="67" t="s">
        <v>2500</v>
      </c>
    </row>
    <row r="37" spans="3:10">
      <c r="C37" s="66">
        <v>28</v>
      </c>
      <c r="D37" s="67" t="s">
        <v>2503</v>
      </c>
      <c r="E37" s="67" t="s">
        <v>2451</v>
      </c>
      <c r="F37" s="67" t="s">
        <v>43</v>
      </c>
      <c r="G37" s="67">
        <v>7067214845</v>
      </c>
      <c r="H37" s="68" t="s">
        <v>2504</v>
      </c>
      <c r="I37" s="67"/>
      <c r="J37" s="67" t="s">
        <v>2505</v>
      </c>
    </row>
    <row r="38" spans="3:10">
      <c r="C38" s="66">
        <v>29</v>
      </c>
      <c r="D38" s="67" t="s">
        <v>2506</v>
      </c>
      <c r="E38" s="67" t="s">
        <v>2442</v>
      </c>
      <c r="F38" s="67" t="s">
        <v>41</v>
      </c>
      <c r="G38" s="67">
        <v>8137626630</v>
      </c>
      <c r="H38" s="67"/>
      <c r="I38" s="67"/>
      <c r="J38" s="67" t="s">
        <v>2507</v>
      </c>
    </row>
    <row r="39" spans="3:10">
      <c r="C39" s="66">
        <v>30</v>
      </c>
      <c r="D39" s="67" t="s">
        <v>2508</v>
      </c>
      <c r="E39" s="67" t="s">
        <v>2436</v>
      </c>
      <c r="F39" s="67" t="s">
        <v>2120</v>
      </c>
      <c r="G39" s="67">
        <v>7068399404</v>
      </c>
      <c r="H39" s="68" t="s">
        <v>2509</v>
      </c>
      <c r="I39" s="67"/>
      <c r="J39" s="67" t="s">
        <v>2510</v>
      </c>
    </row>
    <row r="40" spans="3:10">
      <c r="C40" s="66">
        <v>31</v>
      </c>
      <c r="D40" s="67" t="s">
        <v>2511</v>
      </c>
      <c r="E40" s="67" t="s">
        <v>2445</v>
      </c>
      <c r="F40" s="67" t="s">
        <v>144</v>
      </c>
      <c r="G40" s="67">
        <v>8064798196</v>
      </c>
      <c r="H40" s="68" t="s">
        <v>2512</v>
      </c>
      <c r="I40" s="67"/>
      <c r="J40" s="67" t="s">
        <v>2513</v>
      </c>
    </row>
    <row r="41" spans="3:10" ht="24">
      <c r="C41" s="66">
        <v>32</v>
      </c>
      <c r="D41" s="67" t="s">
        <v>2514</v>
      </c>
      <c r="E41" s="67" t="s">
        <v>2463</v>
      </c>
      <c r="F41" s="67" t="s">
        <v>53</v>
      </c>
      <c r="G41" s="67">
        <v>7068096042</v>
      </c>
      <c r="H41" s="68" t="s">
        <v>2515</v>
      </c>
      <c r="I41" s="67" t="s">
        <v>12</v>
      </c>
      <c r="J41" s="67" t="s">
        <v>2516</v>
      </c>
    </row>
    <row r="42" spans="3:10" ht="24">
      <c r="C42" s="66">
        <v>33</v>
      </c>
      <c r="D42" s="67" t="s">
        <v>2517</v>
      </c>
      <c r="E42" s="67" t="s">
        <v>2432</v>
      </c>
      <c r="F42" s="67" t="s">
        <v>27</v>
      </c>
      <c r="G42" s="67">
        <v>8180962778</v>
      </c>
      <c r="H42" s="68" t="s">
        <v>2518</v>
      </c>
      <c r="I42" s="67"/>
      <c r="J42" s="67" t="s">
        <v>2519</v>
      </c>
    </row>
    <row r="43" spans="3:10">
      <c r="C43" s="66">
        <v>34</v>
      </c>
      <c r="D43" s="67" t="s">
        <v>2520</v>
      </c>
      <c r="E43" s="67" t="s">
        <v>2445</v>
      </c>
      <c r="F43" s="67" t="s">
        <v>21</v>
      </c>
      <c r="G43" s="67">
        <v>7080940239</v>
      </c>
      <c r="H43" s="67"/>
      <c r="I43" s="67"/>
      <c r="J43" s="67" t="s">
        <v>2521</v>
      </c>
    </row>
    <row r="44" spans="3:10">
      <c r="C44" s="66">
        <v>35</v>
      </c>
      <c r="D44" s="67" t="s">
        <v>2522</v>
      </c>
      <c r="E44" s="67" t="s">
        <v>2432</v>
      </c>
      <c r="F44" s="67" t="s">
        <v>38</v>
      </c>
      <c r="G44" s="67">
        <v>8071667667</v>
      </c>
      <c r="H44" s="67"/>
      <c r="I44" s="67"/>
      <c r="J44" s="67" t="s">
        <v>2523</v>
      </c>
    </row>
    <row r="45" spans="3:10">
      <c r="C45" s="66">
        <v>36</v>
      </c>
      <c r="D45" s="67" t="s">
        <v>2524</v>
      </c>
      <c r="E45" s="67" t="s">
        <v>2463</v>
      </c>
      <c r="F45" s="67" t="s">
        <v>64</v>
      </c>
      <c r="G45" s="67"/>
      <c r="H45" s="67"/>
      <c r="I45" s="67"/>
      <c r="J45" s="67" t="s">
        <v>2521</v>
      </c>
    </row>
    <row r="46" spans="3:10" ht="24">
      <c r="C46" s="66">
        <v>37</v>
      </c>
      <c r="D46" s="67" t="s">
        <v>2525</v>
      </c>
      <c r="E46" s="67" t="s">
        <v>2445</v>
      </c>
      <c r="F46" s="67" t="s">
        <v>71</v>
      </c>
      <c r="G46" s="67">
        <v>7066122526</v>
      </c>
      <c r="H46" s="68" t="s">
        <v>2526</v>
      </c>
      <c r="I46" s="67" t="s">
        <v>12</v>
      </c>
      <c r="J46" s="67" t="s">
        <v>2523</v>
      </c>
    </row>
    <row r="47" spans="3:10">
      <c r="C47" s="66">
        <v>38</v>
      </c>
      <c r="D47" s="67" t="s">
        <v>2527</v>
      </c>
      <c r="E47" s="67" t="s">
        <v>2432</v>
      </c>
      <c r="F47" s="67" t="s">
        <v>29</v>
      </c>
      <c r="G47" s="67">
        <v>8110832844</v>
      </c>
      <c r="H47" s="68" t="s">
        <v>2528</v>
      </c>
      <c r="I47" s="67" t="s">
        <v>12</v>
      </c>
      <c r="J47" s="67" t="s">
        <v>2523</v>
      </c>
    </row>
    <row r="48" spans="3:10">
      <c r="C48" s="66">
        <v>39</v>
      </c>
      <c r="D48" s="67" t="s">
        <v>2529</v>
      </c>
      <c r="E48" s="67" t="s">
        <v>2445</v>
      </c>
      <c r="F48" s="67" t="s">
        <v>19</v>
      </c>
      <c r="G48" s="67">
        <v>8100187792</v>
      </c>
      <c r="H48" s="68" t="s">
        <v>2530</v>
      </c>
      <c r="I48" s="67"/>
      <c r="J48" s="67" t="s">
        <v>2531</v>
      </c>
    </row>
    <row r="49" spans="3:10">
      <c r="C49" s="66">
        <v>40</v>
      </c>
      <c r="D49" s="67" t="s">
        <v>2532</v>
      </c>
      <c r="E49" s="67" t="s">
        <v>2463</v>
      </c>
      <c r="F49" s="67" t="s">
        <v>43</v>
      </c>
      <c r="G49" s="67">
        <v>8134866792</v>
      </c>
      <c r="H49" s="67"/>
      <c r="I49" s="67"/>
      <c r="J49" s="67" t="s">
        <v>2533</v>
      </c>
    </row>
    <row r="50" spans="3:10">
      <c r="C50" s="66">
        <v>41</v>
      </c>
      <c r="D50" s="67" t="s">
        <v>2534</v>
      </c>
      <c r="E50" s="67" t="s">
        <v>2445</v>
      </c>
      <c r="F50" s="67" t="s">
        <v>62</v>
      </c>
      <c r="G50" s="67">
        <v>8104764101</v>
      </c>
      <c r="H50" s="68" t="s">
        <v>2535</v>
      </c>
      <c r="I50" s="67" t="s">
        <v>12</v>
      </c>
      <c r="J50" s="67" t="s">
        <v>2533</v>
      </c>
    </row>
    <row r="51" spans="3:10">
      <c r="C51" s="66">
        <v>42</v>
      </c>
      <c r="D51" s="67"/>
      <c r="E51" s="67"/>
      <c r="F51" s="67"/>
      <c r="G51" s="67"/>
      <c r="H51" s="67"/>
      <c r="I51" s="67"/>
      <c r="J51" s="67"/>
    </row>
    <row r="52" spans="3:10">
      <c r="C52" s="66">
        <v>43</v>
      </c>
      <c r="D52" s="67"/>
      <c r="E52" s="67"/>
      <c r="F52" s="67"/>
      <c r="G52" s="67"/>
      <c r="H52" s="67"/>
      <c r="I52" s="67"/>
      <c r="J52" s="67"/>
    </row>
    <row r="53" spans="3:10">
      <c r="C53" s="66">
        <v>44</v>
      </c>
      <c r="D53" s="67" t="s">
        <v>2536</v>
      </c>
      <c r="E53" s="67" t="s">
        <v>2463</v>
      </c>
      <c r="F53" s="67" t="s">
        <v>23</v>
      </c>
      <c r="G53" s="67">
        <v>8162028614</v>
      </c>
      <c r="H53" s="67"/>
      <c r="I53" s="67"/>
      <c r="J53" s="67" t="s">
        <v>2537</v>
      </c>
    </row>
    <row r="54" spans="3:10">
      <c r="C54" s="66">
        <v>45</v>
      </c>
      <c r="D54" s="67" t="s">
        <v>2538</v>
      </c>
      <c r="E54" s="67" t="s">
        <v>2436</v>
      </c>
      <c r="F54" s="67" t="s">
        <v>1962</v>
      </c>
      <c r="G54" s="67">
        <v>7032305818</v>
      </c>
      <c r="H54" s="68" t="s">
        <v>2539</v>
      </c>
      <c r="I54" s="67" t="s">
        <v>9</v>
      </c>
      <c r="J54" s="67" t="s">
        <v>2540</v>
      </c>
    </row>
    <row r="55" spans="3:10">
      <c r="C55" s="66">
        <v>46</v>
      </c>
      <c r="D55" s="67" t="s">
        <v>2541</v>
      </c>
      <c r="E55" s="67" t="s">
        <v>2442</v>
      </c>
      <c r="F55" s="67" t="s">
        <v>14</v>
      </c>
      <c r="G55" s="67">
        <v>8075000421</v>
      </c>
      <c r="H55" s="67" t="s">
        <v>2542</v>
      </c>
      <c r="I55" s="67"/>
      <c r="J55" s="67" t="s">
        <v>2543</v>
      </c>
    </row>
    <row r="56" spans="3:10">
      <c r="C56" s="66">
        <v>47</v>
      </c>
      <c r="D56" s="67" t="s">
        <v>2544</v>
      </c>
      <c r="E56" s="67" t="s">
        <v>2429</v>
      </c>
      <c r="F56" s="67" t="s">
        <v>57</v>
      </c>
      <c r="G56" s="67">
        <v>7032844198</v>
      </c>
      <c r="H56" s="68" t="s">
        <v>2545</v>
      </c>
      <c r="I56" s="67" t="s">
        <v>12</v>
      </c>
      <c r="J56" s="67" t="s">
        <v>2546</v>
      </c>
    </row>
    <row r="57" spans="3:10">
      <c r="C57" s="66">
        <v>48</v>
      </c>
      <c r="D57" s="67" t="s">
        <v>2547</v>
      </c>
      <c r="E57" s="67" t="s">
        <v>2445</v>
      </c>
      <c r="F57" s="67" t="s">
        <v>71</v>
      </c>
      <c r="G57" s="67">
        <v>8035019999</v>
      </c>
      <c r="H57" s="68" t="s">
        <v>2548</v>
      </c>
      <c r="I57" s="67"/>
      <c r="J57" s="67" t="s">
        <v>2546</v>
      </c>
    </row>
    <row r="58" spans="3:10">
      <c r="C58" s="66">
        <v>49</v>
      </c>
      <c r="D58" s="67" t="s">
        <v>2549</v>
      </c>
      <c r="E58" s="67" t="s">
        <v>2436</v>
      </c>
      <c r="F58" s="67" t="s">
        <v>96</v>
      </c>
      <c r="G58" s="67">
        <v>8062108459</v>
      </c>
      <c r="H58" s="68" t="s">
        <v>2550</v>
      </c>
      <c r="I58" s="67"/>
      <c r="J58" s="67" t="s">
        <v>2551</v>
      </c>
    </row>
    <row r="59" spans="3:10">
      <c r="C59" s="66">
        <v>50</v>
      </c>
      <c r="D59" s="67" t="s">
        <v>2552</v>
      </c>
      <c r="E59" s="67" t="s">
        <v>2429</v>
      </c>
      <c r="F59" s="67" t="s">
        <v>162</v>
      </c>
      <c r="G59" s="67">
        <v>8104812205</v>
      </c>
      <c r="H59" s="68" t="s">
        <v>2553</v>
      </c>
      <c r="I59" s="67"/>
      <c r="J59" s="67" t="s">
        <v>2554</v>
      </c>
    </row>
    <row r="60" spans="3:10">
      <c r="C60" s="66">
        <v>51</v>
      </c>
      <c r="D60" s="67" t="s">
        <v>2555</v>
      </c>
      <c r="E60" s="67" t="s">
        <v>2429</v>
      </c>
      <c r="F60" s="67" t="s">
        <v>162</v>
      </c>
      <c r="G60" s="67">
        <v>8130625124</v>
      </c>
      <c r="H60" s="68" t="s">
        <v>2556</v>
      </c>
      <c r="I60" s="67"/>
      <c r="J60" s="67" t="s">
        <v>2557</v>
      </c>
    </row>
    <row r="61" spans="3:10">
      <c r="C61" s="66">
        <v>52</v>
      </c>
      <c r="D61" s="67" t="s">
        <v>2558</v>
      </c>
      <c r="E61" s="67" t="s">
        <v>2463</v>
      </c>
      <c r="F61" s="67" t="s">
        <v>64</v>
      </c>
      <c r="G61" s="67">
        <v>8134705887</v>
      </c>
      <c r="H61" s="68" t="s">
        <v>2559</v>
      </c>
      <c r="I61" s="67"/>
      <c r="J61" s="67" t="s">
        <v>2560</v>
      </c>
    </row>
    <row r="62" spans="3:10">
      <c r="C62" s="66">
        <v>53</v>
      </c>
      <c r="D62" s="67" t="s">
        <v>2561</v>
      </c>
      <c r="E62" s="67" t="s">
        <v>2442</v>
      </c>
      <c r="F62" s="67" t="s">
        <v>62</v>
      </c>
      <c r="G62" s="67">
        <v>8185774147</v>
      </c>
      <c r="H62" s="68" t="s">
        <v>2562</v>
      </c>
      <c r="I62" s="67" t="s">
        <v>9</v>
      </c>
      <c r="J62" s="67" t="s">
        <v>2563</v>
      </c>
    </row>
    <row r="63" spans="3:10">
      <c r="C63" s="66">
        <v>54</v>
      </c>
      <c r="D63" s="67" t="s">
        <v>2564</v>
      </c>
      <c r="E63" s="67" t="s">
        <v>2442</v>
      </c>
      <c r="F63" s="67" t="s">
        <v>14</v>
      </c>
      <c r="G63" s="67">
        <v>7062778105</v>
      </c>
      <c r="H63" s="67"/>
      <c r="I63" s="67"/>
      <c r="J63" s="67" t="s">
        <v>2565</v>
      </c>
    </row>
    <row r="64" spans="3:10">
      <c r="C64" s="66">
        <v>55</v>
      </c>
      <c r="D64" s="67" t="s">
        <v>2566</v>
      </c>
      <c r="E64" s="67" t="s">
        <v>2445</v>
      </c>
      <c r="F64" s="67" t="s">
        <v>45</v>
      </c>
      <c r="G64" s="67">
        <v>7035195461</v>
      </c>
      <c r="H64" s="68" t="s">
        <v>2567</v>
      </c>
      <c r="I64" s="67" t="s">
        <v>12</v>
      </c>
      <c r="J64" s="67" t="s">
        <v>2568</v>
      </c>
    </row>
    <row r="65" spans="3:10">
      <c r="C65" s="66">
        <v>56</v>
      </c>
      <c r="D65" s="67" t="s">
        <v>2569</v>
      </c>
      <c r="E65" s="67" t="s">
        <v>2451</v>
      </c>
      <c r="F65" s="67" t="s">
        <v>43</v>
      </c>
      <c r="G65" s="67">
        <v>7039405636</v>
      </c>
      <c r="H65" s="67"/>
      <c r="I65" s="67"/>
      <c r="J65" s="67" t="s">
        <v>2570</v>
      </c>
    </row>
    <row r="66" spans="3:10">
      <c r="C66" s="66">
        <v>57</v>
      </c>
      <c r="D66" s="67" t="s">
        <v>2571</v>
      </c>
      <c r="E66" s="67" t="s">
        <v>2445</v>
      </c>
      <c r="F66" s="67" t="s">
        <v>113</v>
      </c>
      <c r="G66" s="67">
        <v>8132149729</v>
      </c>
      <c r="H66" s="68" t="s">
        <v>2572</v>
      </c>
      <c r="I66" s="67" t="s">
        <v>12</v>
      </c>
      <c r="J66" s="67" t="s">
        <v>2573</v>
      </c>
    </row>
    <row r="67" spans="3:10" ht="30">
      <c r="C67" s="66">
        <v>58</v>
      </c>
      <c r="D67" s="67" t="s">
        <v>2574</v>
      </c>
      <c r="E67" s="67" t="s">
        <v>2442</v>
      </c>
      <c r="F67" s="67" t="s">
        <v>31</v>
      </c>
      <c r="G67" s="67">
        <v>8168558683</v>
      </c>
      <c r="H67" s="68" t="s">
        <v>2575</v>
      </c>
      <c r="I67" s="67" t="s">
        <v>12</v>
      </c>
      <c r="J67" s="67" t="s">
        <v>2576</v>
      </c>
    </row>
    <row r="68" spans="3:10">
      <c r="C68" s="66">
        <v>59</v>
      </c>
      <c r="D68" s="67" t="s">
        <v>2577</v>
      </c>
      <c r="E68" s="67" t="s">
        <v>2442</v>
      </c>
      <c r="F68" s="67" t="s">
        <v>31</v>
      </c>
      <c r="G68" s="67">
        <v>8131316174</v>
      </c>
      <c r="H68" s="67"/>
      <c r="I68" s="67"/>
      <c r="J68" s="67" t="s">
        <v>2578</v>
      </c>
    </row>
    <row r="69" spans="3:10">
      <c r="C69" s="66">
        <v>60</v>
      </c>
      <c r="D69" s="67" t="s">
        <v>2579</v>
      </c>
      <c r="E69" s="67" t="s">
        <v>2436</v>
      </c>
      <c r="F69" s="67" t="s">
        <v>218</v>
      </c>
      <c r="G69" s="67">
        <v>8052271472</v>
      </c>
      <c r="H69" s="68" t="s">
        <v>2580</v>
      </c>
      <c r="I69" s="67" t="s">
        <v>9</v>
      </c>
      <c r="J69" s="67" t="s">
        <v>2578</v>
      </c>
    </row>
    <row r="70" spans="3:10">
      <c r="C70" s="66">
        <v>61</v>
      </c>
      <c r="D70" s="67" t="s">
        <v>2581</v>
      </c>
      <c r="E70" s="67" t="s">
        <v>2429</v>
      </c>
      <c r="F70" s="67" t="s">
        <v>57</v>
      </c>
      <c r="G70" s="67">
        <v>8146273062</v>
      </c>
      <c r="H70" s="67"/>
      <c r="I70" s="67"/>
      <c r="J70" s="67" t="s">
        <v>2582</v>
      </c>
    </row>
    <row r="71" spans="3:10">
      <c r="C71" s="66">
        <v>62</v>
      </c>
      <c r="D71" s="67" t="s">
        <v>2583</v>
      </c>
      <c r="E71" s="67" t="s">
        <v>2436</v>
      </c>
      <c r="F71" s="67" t="s">
        <v>2120</v>
      </c>
      <c r="G71" s="67">
        <v>7068399402</v>
      </c>
      <c r="H71" s="68" t="s">
        <v>2584</v>
      </c>
      <c r="I71" s="67"/>
      <c r="J71" s="67" t="s">
        <v>2582</v>
      </c>
    </row>
    <row r="72" spans="3:10">
      <c r="C72" s="66">
        <v>63</v>
      </c>
      <c r="D72" s="67" t="s">
        <v>2585</v>
      </c>
      <c r="E72" s="67" t="s">
        <v>2463</v>
      </c>
      <c r="F72" s="67" t="s">
        <v>43</v>
      </c>
      <c r="G72" s="67">
        <v>8103964338</v>
      </c>
      <c r="H72" s="67"/>
      <c r="I72" s="67"/>
      <c r="J72" s="67" t="s">
        <v>2586</v>
      </c>
    </row>
    <row r="73" spans="3:10">
      <c r="C73" s="66">
        <v>64</v>
      </c>
      <c r="D73" s="67" t="s">
        <v>2587</v>
      </c>
      <c r="E73" s="67" t="s">
        <v>2588</v>
      </c>
      <c r="F73" s="67" t="s">
        <v>25</v>
      </c>
      <c r="G73" s="67">
        <v>8165378693</v>
      </c>
      <c r="H73" s="67" t="s">
        <v>2589</v>
      </c>
      <c r="I73" s="67" t="s">
        <v>12</v>
      </c>
      <c r="J73" s="67" t="s">
        <v>2586</v>
      </c>
    </row>
    <row r="74" spans="3:10">
      <c r="C74" s="66">
        <v>65</v>
      </c>
      <c r="D74" s="67" t="s">
        <v>2590</v>
      </c>
      <c r="E74" s="67" t="s">
        <v>2442</v>
      </c>
      <c r="F74" s="67" t="s">
        <v>62</v>
      </c>
      <c r="G74" s="67">
        <v>8131895118</v>
      </c>
      <c r="H74" s="67" t="s">
        <v>2591</v>
      </c>
      <c r="I74" s="67" t="s">
        <v>12</v>
      </c>
      <c r="J74" s="67" t="s">
        <v>2586</v>
      </c>
    </row>
    <row r="75" spans="3:10">
      <c r="C75" s="66">
        <v>66</v>
      </c>
      <c r="D75" s="67" t="s">
        <v>2592</v>
      </c>
      <c r="E75" s="67" t="s">
        <v>2463</v>
      </c>
      <c r="F75" s="67" t="s">
        <v>23</v>
      </c>
      <c r="G75" s="67">
        <v>8105764417</v>
      </c>
      <c r="H75" s="67"/>
      <c r="I75" s="67"/>
      <c r="J75" s="67" t="s">
        <v>2593</v>
      </c>
    </row>
    <row r="76" spans="3:10">
      <c r="C76" s="66">
        <v>67</v>
      </c>
      <c r="D76" s="67" t="s">
        <v>2594</v>
      </c>
      <c r="E76" s="67" t="s">
        <v>2459</v>
      </c>
      <c r="F76" s="67" t="s">
        <v>31</v>
      </c>
      <c r="G76" s="67">
        <v>8130197355</v>
      </c>
      <c r="H76" s="68" t="s">
        <v>2595</v>
      </c>
      <c r="I76" s="67" t="s">
        <v>12</v>
      </c>
      <c r="J76" s="67" t="s">
        <v>2593</v>
      </c>
    </row>
    <row r="77" spans="3:10">
      <c r="C77" s="66">
        <v>68</v>
      </c>
      <c r="D77" s="67" t="s">
        <v>2596</v>
      </c>
      <c r="E77" s="67" t="s">
        <v>2463</v>
      </c>
      <c r="F77" s="67" t="s">
        <v>77</v>
      </c>
      <c r="G77" s="67">
        <v>7037230695</v>
      </c>
      <c r="H77" s="68" t="s">
        <v>2597</v>
      </c>
      <c r="I77" s="67"/>
      <c r="J77" s="67" t="s">
        <v>2598</v>
      </c>
    </row>
    <row r="78" spans="3:10">
      <c r="C78" s="66">
        <v>69</v>
      </c>
      <c r="D78" s="67"/>
      <c r="E78" s="67"/>
      <c r="F78" s="67"/>
      <c r="G78" s="67"/>
      <c r="H78" s="69"/>
      <c r="I78" s="67"/>
      <c r="J78" s="67"/>
    </row>
    <row r="79" spans="3:10">
      <c r="C79" s="66">
        <v>70</v>
      </c>
      <c r="D79" s="67"/>
      <c r="E79" s="67"/>
      <c r="F79" s="67"/>
      <c r="G79" s="67"/>
      <c r="H79" s="67"/>
      <c r="I79" s="67"/>
      <c r="J79" s="67"/>
    </row>
    <row r="80" spans="3:10">
      <c r="C80" s="66">
        <v>71</v>
      </c>
      <c r="D80" s="67" t="s">
        <v>2599</v>
      </c>
      <c r="E80" s="67" t="s">
        <v>2432</v>
      </c>
      <c r="F80" s="67" t="s">
        <v>207</v>
      </c>
      <c r="G80" s="67">
        <v>7066251669</v>
      </c>
      <c r="H80" s="67"/>
      <c r="I80" s="67"/>
      <c r="J80" s="67" t="s">
        <v>2600</v>
      </c>
    </row>
    <row r="81" spans="3:10">
      <c r="C81" s="66">
        <v>72</v>
      </c>
      <c r="D81" s="67" t="s">
        <v>2601</v>
      </c>
      <c r="E81" s="67" t="s">
        <v>2432</v>
      </c>
      <c r="F81" s="67" t="s">
        <v>29</v>
      </c>
      <c r="G81" s="67">
        <v>806118680</v>
      </c>
      <c r="H81" s="68" t="s">
        <v>2602</v>
      </c>
      <c r="I81" s="67" t="s">
        <v>12</v>
      </c>
      <c r="J81" s="67" t="s">
        <v>2603</v>
      </c>
    </row>
    <row r="82" spans="3:10">
      <c r="C82" s="66">
        <v>73</v>
      </c>
      <c r="D82" s="67" t="s">
        <v>2604</v>
      </c>
      <c r="E82" s="67" t="s">
        <v>2463</v>
      </c>
      <c r="F82" s="67" t="s">
        <v>43</v>
      </c>
      <c r="G82" s="67">
        <v>8178080946</v>
      </c>
      <c r="H82" s="68" t="s">
        <v>2605</v>
      </c>
      <c r="I82" s="67" t="s">
        <v>12</v>
      </c>
      <c r="J82" s="67" t="s">
        <v>2606</v>
      </c>
    </row>
    <row r="83" spans="3:10">
      <c r="C83" s="66">
        <v>74</v>
      </c>
      <c r="D83" s="67" t="s">
        <v>2607</v>
      </c>
      <c r="E83" s="67" t="s">
        <v>2429</v>
      </c>
      <c r="F83" s="67" t="s">
        <v>57</v>
      </c>
      <c r="G83" s="67">
        <v>8163899540</v>
      </c>
      <c r="H83" s="67"/>
      <c r="I83" s="67"/>
      <c r="J83" s="67" t="s">
        <v>2608</v>
      </c>
    </row>
    <row r="84" spans="3:10">
      <c r="C84" s="66">
        <v>75</v>
      </c>
      <c r="D84" s="67" t="s">
        <v>2609</v>
      </c>
      <c r="E84" s="67" t="s">
        <v>2432</v>
      </c>
      <c r="F84" s="67" t="s">
        <v>16</v>
      </c>
      <c r="G84" s="67">
        <v>8167307084</v>
      </c>
      <c r="H84" s="68" t="s">
        <v>2610</v>
      </c>
      <c r="I84" s="67" t="s">
        <v>9</v>
      </c>
      <c r="J84" s="67" t="s">
        <v>2608</v>
      </c>
    </row>
    <row r="85" spans="3:10">
      <c r="C85" s="66">
        <v>76</v>
      </c>
      <c r="D85" s="67" t="s">
        <v>2611</v>
      </c>
      <c r="E85" s="67" t="s">
        <v>2429</v>
      </c>
      <c r="F85" s="67" t="s">
        <v>57</v>
      </c>
      <c r="G85" s="67">
        <v>8180537549</v>
      </c>
      <c r="H85" s="68" t="s">
        <v>2612</v>
      </c>
      <c r="I85" s="67"/>
      <c r="J85" s="67" t="s">
        <v>2613</v>
      </c>
    </row>
    <row r="86" spans="3:10" ht="30">
      <c r="C86" s="66">
        <v>77</v>
      </c>
      <c r="D86" s="67" t="s">
        <v>2614</v>
      </c>
      <c r="E86" s="67" t="s">
        <v>2436</v>
      </c>
      <c r="F86" s="67" t="s">
        <v>49</v>
      </c>
      <c r="G86" s="67">
        <v>8104281382</v>
      </c>
      <c r="H86" s="68" t="s">
        <v>2615</v>
      </c>
      <c r="I86" s="67" t="s">
        <v>12</v>
      </c>
      <c r="J86" s="67" t="s">
        <v>2616</v>
      </c>
    </row>
    <row r="87" spans="3:10">
      <c r="C87" s="66">
        <v>78</v>
      </c>
      <c r="D87" s="67" t="s">
        <v>2617</v>
      </c>
      <c r="E87" s="67" t="s">
        <v>2494</v>
      </c>
      <c r="F87" s="67" t="s">
        <v>10</v>
      </c>
      <c r="G87" s="67">
        <v>7033829987</v>
      </c>
      <c r="H87" s="68" t="s">
        <v>2618</v>
      </c>
      <c r="I87" s="67" t="s">
        <v>9</v>
      </c>
      <c r="J87" s="67" t="s">
        <v>2619</v>
      </c>
    </row>
    <row r="88" spans="3:10">
      <c r="C88" s="66">
        <v>79</v>
      </c>
      <c r="D88" s="67" t="s">
        <v>2620</v>
      </c>
      <c r="E88" s="67" t="s">
        <v>2442</v>
      </c>
      <c r="F88" s="67" t="s">
        <v>14</v>
      </c>
      <c r="G88" s="67">
        <v>8139655742</v>
      </c>
      <c r="H88" s="68" t="s">
        <v>2621</v>
      </c>
      <c r="I88" s="67"/>
      <c r="J88" s="67" t="s">
        <v>2619</v>
      </c>
    </row>
    <row r="89" spans="3:10">
      <c r="C89" s="66">
        <v>80</v>
      </c>
      <c r="D89" s="67" t="s">
        <v>2622</v>
      </c>
      <c r="E89" s="67" t="s">
        <v>2463</v>
      </c>
      <c r="F89" s="67" t="s">
        <v>77</v>
      </c>
      <c r="G89" s="67">
        <v>8133325847</v>
      </c>
      <c r="H89" s="68" t="s">
        <v>2623</v>
      </c>
      <c r="I89" s="67" t="s">
        <v>12</v>
      </c>
      <c r="J89" s="67" t="s">
        <v>2624</v>
      </c>
    </row>
    <row r="90" spans="3:10">
      <c r="C90" s="66">
        <v>81</v>
      </c>
      <c r="D90" s="67" t="s">
        <v>2625</v>
      </c>
      <c r="E90" s="67" t="s">
        <v>2445</v>
      </c>
      <c r="F90" s="67" t="s">
        <v>71</v>
      </c>
      <c r="G90" s="67">
        <v>8131241162</v>
      </c>
      <c r="H90" s="68" t="s">
        <v>2626</v>
      </c>
      <c r="I90" s="67" t="s">
        <v>9</v>
      </c>
      <c r="J90" s="67" t="s">
        <v>2627</v>
      </c>
    </row>
    <row r="91" spans="3:10">
      <c r="C91" s="66">
        <v>82</v>
      </c>
      <c r="D91" s="67" t="s">
        <v>2628</v>
      </c>
      <c r="E91" s="67" t="s">
        <v>2436</v>
      </c>
      <c r="F91" s="67" t="s">
        <v>96</v>
      </c>
      <c r="G91" s="67">
        <v>8060677173</v>
      </c>
      <c r="H91" s="67"/>
      <c r="I91" s="67"/>
      <c r="J91" s="67" t="s">
        <v>2629</v>
      </c>
    </row>
    <row r="92" spans="3:10">
      <c r="C92" s="66">
        <v>83</v>
      </c>
      <c r="D92" s="67" t="s">
        <v>2630</v>
      </c>
      <c r="E92" s="67" t="s">
        <v>2442</v>
      </c>
      <c r="F92" s="67" t="s">
        <v>14</v>
      </c>
      <c r="G92" s="67">
        <v>7061558340</v>
      </c>
      <c r="H92" s="68" t="s">
        <v>2631</v>
      </c>
      <c r="I92" s="67" t="s">
        <v>12</v>
      </c>
      <c r="J92" s="67" t="s">
        <v>2627</v>
      </c>
    </row>
    <row r="93" spans="3:10">
      <c r="C93" s="66">
        <v>84</v>
      </c>
      <c r="D93" s="67" t="s">
        <v>2632</v>
      </c>
      <c r="E93" s="67" t="s">
        <v>2463</v>
      </c>
      <c r="F93" s="67" t="s">
        <v>75</v>
      </c>
      <c r="G93" s="67">
        <v>8101034666</v>
      </c>
      <c r="H93" s="67"/>
      <c r="I93" s="67"/>
      <c r="J93" s="67" t="s">
        <v>2629</v>
      </c>
    </row>
    <row r="94" spans="3:10" ht="30">
      <c r="C94" s="66">
        <v>85</v>
      </c>
      <c r="D94" s="67" t="s">
        <v>2633</v>
      </c>
      <c r="E94" s="67" t="s">
        <v>2442</v>
      </c>
      <c r="F94" s="67" t="s">
        <v>14</v>
      </c>
      <c r="G94" s="67">
        <v>8131562545</v>
      </c>
      <c r="H94" s="68" t="s">
        <v>2634</v>
      </c>
      <c r="I94" s="67" t="s">
        <v>12</v>
      </c>
      <c r="J94" s="67" t="s">
        <v>2629</v>
      </c>
    </row>
    <row r="95" spans="3:10">
      <c r="C95" s="66">
        <v>86</v>
      </c>
      <c r="D95" s="67" t="s">
        <v>2635</v>
      </c>
      <c r="E95" s="67" t="s">
        <v>2429</v>
      </c>
      <c r="F95" s="67" t="s">
        <v>162</v>
      </c>
      <c r="G95" s="67">
        <v>7062660497</v>
      </c>
      <c r="H95" s="68" t="s">
        <v>2636</v>
      </c>
      <c r="I95" s="67" t="s">
        <v>12</v>
      </c>
      <c r="J95" s="67" t="s">
        <v>2637</v>
      </c>
    </row>
    <row r="96" spans="3:10">
      <c r="C96" s="66">
        <v>87</v>
      </c>
      <c r="D96" s="67" t="s">
        <v>2638</v>
      </c>
      <c r="E96" s="67" t="s">
        <v>2445</v>
      </c>
      <c r="F96" s="67" t="s">
        <v>144</v>
      </c>
      <c r="G96" s="67">
        <v>8108461412</v>
      </c>
      <c r="H96" s="68" t="s">
        <v>2639</v>
      </c>
      <c r="I96" s="67"/>
      <c r="J96" s="67" t="s">
        <v>2640</v>
      </c>
    </row>
    <row r="97" spans="3:10">
      <c r="C97" s="66">
        <v>88</v>
      </c>
      <c r="D97" s="67" t="s">
        <v>2641</v>
      </c>
      <c r="E97" s="67" t="s">
        <v>2436</v>
      </c>
      <c r="F97" s="67" t="s">
        <v>1962</v>
      </c>
      <c r="G97" s="67">
        <v>7032244087</v>
      </c>
      <c r="H97" s="67"/>
      <c r="I97" s="67"/>
      <c r="J97" s="67" t="s">
        <v>2637</v>
      </c>
    </row>
    <row r="98" spans="3:10">
      <c r="C98" s="66">
        <v>89</v>
      </c>
      <c r="D98" s="67" t="s">
        <v>2642</v>
      </c>
      <c r="E98" s="67" t="s">
        <v>2436</v>
      </c>
      <c r="F98" s="67" t="s">
        <v>132</v>
      </c>
      <c r="G98" s="67">
        <v>7065124643</v>
      </c>
      <c r="H98" s="68" t="s">
        <v>2643</v>
      </c>
      <c r="I98" s="67" t="s">
        <v>12</v>
      </c>
      <c r="J98" s="67" t="s">
        <v>2644</v>
      </c>
    </row>
    <row r="99" spans="3:10" ht="26.25">
      <c r="C99" s="66">
        <v>90</v>
      </c>
      <c r="D99" s="67" t="s">
        <v>2645</v>
      </c>
      <c r="E99" s="67" t="s">
        <v>2463</v>
      </c>
      <c r="F99" s="67" t="s">
        <v>75</v>
      </c>
      <c r="G99" s="67">
        <v>7068384392</v>
      </c>
      <c r="H99" s="68" t="s">
        <v>2646</v>
      </c>
      <c r="I99" s="67" t="s">
        <v>12</v>
      </c>
      <c r="J99" s="67" t="s">
        <v>2647</v>
      </c>
    </row>
    <row r="100" spans="3:10" ht="26.25">
      <c r="C100" s="66">
        <v>91</v>
      </c>
      <c r="D100" s="67" t="s">
        <v>2648</v>
      </c>
      <c r="E100" s="67" t="s">
        <v>2463</v>
      </c>
      <c r="F100" s="67" t="s">
        <v>43</v>
      </c>
      <c r="G100" s="67">
        <v>8101501553</v>
      </c>
      <c r="H100" s="68" t="s">
        <v>2649</v>
      </c>
      <c r="I100" s="67" t="s">
        <v>12</v>
      </c>
      <c r="J100" s="67" t="s">
        <v>2650</v>
      </c>
    </row>
    <row r="101" spans="3:10" ht="26.25">
      <c r="C101" s="66">
        <v>92</v>
      </c>
      <c r="D101" s="67" t="s">
        <v>2651</v>
      </c>
      <c r="E101" s="67" t="s">
        <v>2463</v>
      </c>
      <c r="F101" s="67" t="s">
        <v>77</v>
      </c>
      <c r="G101" s="67">
        <v>8112558135</v>
      </c>
      <c r="H101" s="70" t="s">
        <v>2652</v>
      </c>
      <c r="I101" s="67"/>
      <c r="J101" s="67" t="s">
        <v>2647</v>
      </c>
    </row>
    <row r="102" spans="3:10">
      <c r="C102" s="66">
        <v>93</v>
      </c>
      <c r="D102" s="67" t="s">
        <v>2653</v>
      </c>
      <c r="E102" s="67" t="s">
        <v>2463</v>
      </c>
      <c r="F102" s="67" t="s">
        <v>43</v>
      </c>
      <c r="G102" s="67">
        <v>8162072200</v>
      </c>
      <c r="H102" s="68" t="s">
        <v>2654</v>
      </c>
      <c r="I102" s="67" t="s">
        <v>12</v>
      </c>
      <c r="J102" s="67" t="s">
        <v>2655</v>
      </c>
    </row>
    <row r="103" spans="3:10">
      <c r="C103" s="66">
        <v>94</v>
      </c>
      <c r="D103" s="67" t="s">
        <v>2656</v>
      </c>
      <c r="E103" s="67" t="s">
        <v>2463</v>
      </c>
      <c r="F103" s="67" t="s">
        <v>77</v>
      </c>
      <c r="G103" s="67">
        <v>8164463387</v>
      </c>
      <c r="H103" s="67"/>
      <c r="I103" s="67"/>
      <c r="J103" s="67" t="s">
        <v>2657</v>
      </c>
    </row>
    <row r="104" spans="3:10">
      <c r="C104" s="66">
        <v>95</v>
      </c>
      <c r="D104" s="67" t="s">
        <v>2658</v>
      </c>
      <c r="E104" s="67" t="s">
        <v>2463</v>
      </c>
      <c r="F104" s="67" t="s">
        <v>77</v>
      </c>
      <c r="G104" s="67">
        <v>7063957490</v>
      </c>
      <c r="H104" s="68" t="s">
        <v>2659</v>
      </c>
      <c r="I104" s="67"/>
      <c r="J104" s="67" t="s">
        <v>2660</v>
      </c>
    </row>
    <row r="105" spans="3:10">
      <c r="C105" s="66">
        <v>96</v>
      </c>
      <c r="D105" s="67" t="s">
        <v>2661</v>
      </c>
      <c r="E105" s="67" t="s">
        <v>2436</v>
      </c>
      <c r="F105" s="67" t="s">
        <v>138</v>
      </c>
      <c r="G105" s="67">
        <v>7062775848</v>
      </c>
      <c r="H105" s="68" t="s">
        <v>2662</v>
      </c>
      <c r="I105" s="67"/>
      <c r="J105" s="67" t="s">
        <v>2663</v>
      </c>
    </row>
    <row r="106" spans="3:10">
      <c r="C106" s="66">
        <v>97</v>
      </c>
      <c r="D106" s="67" t="s">
        <v>2664</v>
      </c>
      <c r="E106" s="67" t="s">
        <v>2436</v>
      </c>
      <c r="F106" s="67" t="s">
        <v>1962</v>
      </c>
      <c r="G106" s="67">
        <v>8109820246</v>
      </c>
      <c r="H106" s="67"/>
      <c r="I106" s="67"/>
      <c r="J106" s="67" t="s">
        <v>2665</v>
      </c>
    </row>
    <row r="107" spans="3:10">
      <c r="C107" s="66">
        <v>98</v>
      </c>
      <c r="D107" s="67" t="s">
        <v>2666</v>
      </c>
      <c r="E107" s="67" t="s">
        <v>2432</v>
      </c>
      <c r="F107" s="67" t="s">
        <v>38</v>
      </c>
      <c r="G107" s="67">
        <v>8193560169</v>
      </c>
      <c r="H107" s="68" t="s">
        <v>2667</v>
      </c>
      <c r="I107" s="67"/>
      <c r="J107" s="67" t="s">
        <v>2668</v>
      </c>
    </row>
    <row r="108" spans="3:10">
      <c r="C108" s="66">
        <v>99</v>
      </c>
      <c r="D108" s="67" t="s">
        <v>2669</v>
      </c>
      <c r="E108" s="67" t="s">
        <v>2463</v>
      </c>
      <c r="F108" s="67" t="s">
        <v>23</v>
      </c>
      <c r="G108" s="67">
        <v>7065852675</v>
      </c>
      <c r="H108" s="68" t="s">
        <v>2670</v>
      </c>
      <c r="I108" s="67" t="s">
        <v>9</v>
      </c>
      <c r="J108" s="67" t="s">
        <v>2668</v>
      </c>
    </row>
    <row r="109" spans="3:10" ht="30">
      <c r="C109" s="66">
        <v>100</v>
      </c>
      <c r="D109" s="67" t="s">
        <v>2671</v>
      </c>
      <c r="E109" s="67" t="s">
        <v>2432</v>
      </c>
      <c r="F109" s="67" t="s">
        <v>27</v>
      </c>
      <c r="G109" s="67">
        <v>8136062810</v>
      </c>
      <c r="H109" s="68" t="s">
        <v>2672</v>
      </c>
      <c r="I109" s="67" t="s">
        <v>12</v>
      </c>
      <c r="J109" s="67" t="s">
        <v>2673</v>
      </c>
    </row>
    <row r="110" spans="3:10">
      <c r="C110" s="66">
        <v>101</v>
      </c>
      <c r="D110" s="67" t="s">
        <v>2674</v>
      </c>
      <c r="E110" s="67" t="s">
        <v>2463</v>
      </c>
      <c r="F110" s="67" t="s">
        <v>43</v>
      </c>
      <c r="G110" s="67">
        <v>8134150054</v>
      </c>
      <c r="H110" s="67" t="s">
        <v>2652</v>
      </c>
      <c r="I110" s="67"/>
      <c r="J110" s="67" t="s">
        <v>2673</v>
      </c>
    </row>
    <row r="111" spans="3:10">
      <c r="C111" s="66">
        <v>102</v>
      </c>
      <c r="D111" s="67" t="s">
        <v>2675</v>
      </c>
      <c r="E111" s="67" t="s">
        <v>2442</v>
      </c>
      <c r="F111" s="67" t="s">
        <v>31</v>
      </c>
      <c r="G111" s="67">
        <v>8149333273</v>
      </c>
      <c r="H111" s="68" t="s">
        <v>2676</v>
      </c>
      <c r="I111" s="67"/>
      <c r="J111" s="67" t="s">
        <v>2677</v>
      </c>
    </row>
    <row r="112" spans="3:10">
      <c r="C112" s="66">
        <v>103</v>
      </c>
      <c r="D112" s="67" t="s">
        <v>2678</v>
      </c>
      <c r="E112" s="67" t="s">
        <v>2436</v>
      </c>
      <c r="F112" s="67" t="s">
        <v>2120</v>
      </c>
      <c r="G112" s="67">
        <v>8166135613</v>
      </c>
      <c r="H112" s="67"/>
      <c r="I112" s="67"/>
      <c r="J112" s="67" t="s">
        <v>2677</v>
      </c>
    </row>
    <row r="113" spans="3:10">
      <c r="C113" s="66">
        <v>104</v>
      </c>
      <c r="D113" s="67" t="s">
        <v>2679</v>
      </c>
      <c r="E113" s="67" t="s">
        <v>2445</v>
      </c>
      <c r="F113" s="67" t="s">
        <v>21</v>
      </c>
      <c r="G113" s="67">
        <v>8106174438</v>
      </c>
      <c r="H113" s="68" t="s">
        <v>2680</v>
      </c>
      <c r="I113" s="67" t="s">
        <v>12</v>
      </c>
      <c r="J113" s="67" t="s">
        <v>2677</v>
      </c>
    </row>
    <row r="114" spans="3:10">
      <c r="C114" s="66">
        <v>105</v>
      </c>
      <c r="D114" s="67" t="s">
        <v>2681</v>
      </c>
      <c r="E114" s="67" t="s">
        <v>2588</v>
      </c>
      <c r="F114" s="67" t="s">
        <v>2120</v>
      </c>
      <c r="G114" s="67">
        <v>8166680878</v>
      </c>
      <c r="H114" s="68" t="s">
        <v>2682</v>
      </c>
      <c r="I114" s="67"/>
      <c r="J114" s="67" t="s">
        <v>2683</v>
      </c>
    </row>
    <row r="115" spans="3:10">
      <c r="C115" s="66">
        <v>106</v>
      </c>
      <c r="D115" s="67" t="s">
        <v>2684</v>
      </c>
      <c r="E115" s="67" t="s">
        <v>2429</v>
      </c>
      <c r="F115" s="67" t="s">
        <v>2145</v>
      </c>
      <c r="G115" s="67">
        <v>8104374166</v>
      </c>
      <c r="H115" s="68" t="s">
        <v>2685</v>
      </c>
      <c r="I115" s="67" t="s">
        <v>9</v>
      </c>
      <c r="J115" s="67" t="s">
        <v>2686</v>
      </c>
    </row>
    <row r="116" spans="3:10">
      <c r="C116" s="66">
        <v>107</v>
      </c>
      <c r="D116" s="67" t="s">
        <v>2687</v>
      </c>
      <c r="E116" s="67" t="s">
        <v>2432</v>
      </c>
      <c r="F116" s="67" t="s">
        <v>38</v>
      </c>
      <c r="G116" s="67">
        <v>8130817586</v>
      </c>
      <c r="H116" s="68" t="s">
        <v>2688</v>
      </c>
      <c r="I116" s="67"/>
      <c r="J116" s="67" t="s">
        <v>2689</v>
      </c>
    </row>
    <row r="117" spans="3:10">
      <c r="C117" s="66">
        <v>108</v>
      </c>
      <c r="D117" s="67" t="s">
        <v>2690</v>
      </c>
      <c r="E117" s="67" t="s">
        <v>2463</v>
      </c>
      <c r="F117" s="67" t="s">
        <v>43</v>
      </c>
      <c r="G117" s="67">
        <v>8142251571</v>
      </c>
      <c r="H117" s="68" t="s">
        <v>2691</v>
      </c>
      <c r="I117" s="67" t="s">
        <v>12</v>
      </c>
      <c r="J117" s="67" t="s">
        <v>2689</v>
      </c>
    </row>
    <row r="118" spans="3:10">
      <c r="C118" s="66">
        <v>109</v>
      </c>
      <c r="D118" s="67" t="s">
        <v>2692</v>
      </c>
      <c r="E118" s="67" t="s">
        <v>2432</v>
      </c>
      <c r="F118" s="67" t="s">
        <v>207</v>
      </c>
      <c r="G118" s="67">
        <v>8138703688</v>
      </c>
      <c r="H118" s="68" t="s">
        <v>2693</v>
      </c>
      <c r="I118" s="67" t="s">
        <v>9</v>
      </c>
      <c r="J118" s="67" t="s">
        <v>2694</v>
      </c>
    </row>
    <row r="119" spans="3:10">
      <c r="C119" s="66">
        <v>110</v>
      </c>
      <c r="D119" s="67" t="s">
        <v>2695</v>
      </c>
      <c r="E119" s="67" t="s">
        <v>2432</v>
      </c>
      <c r="F119" s="67" t="s">
        <v>16</v>
      </c>
      <c r="G119" s="67">
        <v>7036361316</v>
      </c>
      <c r="H119" s="68" t="s">
        <v>2696</v>
      </c>
      <c r="I119" s="67" t="s">
        <v>12</v>
      </c>
      <c r="J119" s="67" t="s">
        <v>2697</v>
      </c>
    </row>
    <row r="120" spans="3:10">
      <c r="C120" s="66">
        <v>111</v>
      </c>
      <c r="D120" s="67" t="s">
        <v>2698</v>
      </c>
      <c r="E120" s="67" t="s">
        <v>2463</v>
      </c>
      <c r="F120" s="67" t="s">
        <v>43</v>
      </c>
      <c r="G120" s="67">
        <v>8134150054</v>
      </c>
      <c r="H120" s="68" t="s">
        <v>2699</v>
      </c>
      <c r="I120" s="67" t="s">
        <v>12</v>
      </c>
      <c r="J120" s="67" t="s">
        <v>2700</v>
      </c>
    </row>
    <row r="121" spans="3:10">
      <c r="C121" s="66">
        <v>112</v>
      </c>
      <c r="D121" s="67" t="s">
        <v>2701</v>
      </c>
      <c r="E121" s="67" t="s">
        <v>2436</v>
      </c>
      <c r="F121" s="67" t="s">
        <v>1962</v>
      </c>
      <c r="G121" s="67">
        <v>7062308800</v>
      </c>
      <c r="H121" s="67"/>
      <c r="I121" s="67"/>
      <c r="J121" s="67" t="s">
        <v>2702</v>
      </c>
    </row>
    <row r="122" spans="3:10">
      <c r="C122" s="66">
        <v>113</v>
      </c>
      <c r="D122" s="67" t="s">
        <v>2703</v>
      </c>
      <c r="E122" s="67" t="s">
        <v>2436</v>
      </c>
      <c r="F122" s="67" t="s">
        <v>218</v>
      </c>
      <c r="G122" s="67">
        <v>8165934217</v>
      </c>
      <c r="H122" s="68" t="s">
        <v>2704</v>
      </c>
      <c r="I122" s="67"/>
      <c r="J122" s="67" t="s">
        <v>2705</v>
      </c>
    </row>
    <row r="123" spans="3:10">
      <c r="C123" s="66">
        <v>114</v>
      </c>
      <c r="D123" s="67" t="s">
        <v>2706</v>
      </c>
      <c r="E123" s="67" t="s">
        <v>2432</v>
      </c>
      <c r="F123" s="67" t="s">
        <v>33</v>
      </c>
      <c r="G123" s="67">
        <v>8163680582</v>
      </c>
      <c r="H123" s="67"/>
      <c r="I123" s="67"/>
      <c r="J123" s="67" t="s">
        <v>2705</v>
      </c>
    </row>
    <row r="124" spans="3:10">
      <c r="C124" s="66">
        <v>115</v>
      </c>
      <c r="D124" s="67" t="s">
        <v>2707</v>
      </c>
      <c r="E124" s="67" t="s">
        <v>2445</v>
      </c>
      <c r="F124" s="67" t="s">
        <v>21</v>
      </c>
      <c r="G124" s="67">
        <v>7081639709</v>
      </c>
      <c r="H124" s="68" t="s">
        <v>2708</v>
      </c>
      <c r="I124" s="67"/>
      <c r="J124" s="67" t="s">
        <v>2709</v>
      </c>
    </row>
    <row r="125" spans="3:10">
      <c r="C125" s="66">
        <v>116</v>
      </c>
      <c r="D125" s="67" t="s">
        <v>2710</v>
      </c>
      <c r="E125" s="67" t="s">
        <v>2432</v>
      </c>
      <c r="F125" s="67" t="s">
        <v>118</v>
      </c>
      <c r="G125" s="67">
        <v>7064845657</v>
      </c>
      <c r="H125" s="68" t="s">
        <v>2711</v>
      </c>
      <c r="I125" s="67"/>
      <c r="J125" s="67" t="s">
        <v>2712</v>
      </c>
    </row>
    <row r="126" spans="3:10">
      <c r="C126" s="66">
        <v>117</v>
      </c>
      <c r="D126" s="67" t="s">
        <v>2713</v>
      </c>
      <c r="E126" s="67" t="s">
        <v>2436</v>
      </c>
      <c r="F126" s="67" t="s">
        <v>1962</v>
      </c>
      <c r="G126" s="67">
        <v>7035618481</v>
      </c>
      <c r="H126" s="68" t="s">
        <v>2714</v>
      </c>
      <c r="I126" s="67"/>
      <c r="J126" s="67" t="s">
        <v>2715</v>
      </c>
    </row>
    <row r="127" spans="3:10">
      <c r="C127" s="66">
        <v>118</v>
      </c>
      <c r="D127" s="67" t="s">
        <v>2716</v>
      </c>
      <c r="E127" s="67" t="s">
        <v>2429</v>
      </c>
      <c r="F127" s="67" t="s">
        <v>162</v>
      </c>
      <c r="G127" s="67">
        <v>8169770810</v>
      </c>
      <c r="H127" s="68" t="s">
        <v>2717</v>
      </c>
      <c r="I127" s="67" t="s">
        <v>12</v>
      </c>
      <c r="J127" s="67" t="s">
        <v>2718</v>
      </c>
    </row>
    <row r="128" spans="3:10">
      <c r="C128" s="66">
        <v>119</v>
      </c>
      <c r="D128" s="67" t="s">
        <v>2719</v>
      </c>
      <c r="E128" s="67" t="s">
        <v>2463</v>
      </c>
      <c r="F128" s="67" t="s">
        <v>43</v>
      </c>
      <c r="G128" s="67">
        <v>8161830430</v>
      </c>
      <c r="H128" s="67"/>
      <c r="I128" s="67"/>
      <c r="J128" s="67" t="s">
        <v>2718</v>
      </c>
    </row>
    <row r="129" spans="3:10">
      <c r="C129" s="66">
        <v>120</v>
      </c>
      <c r="D129" s="67" t="s">
        <v>2720</v>
      </c>
      <c r="E129" s="67" t="s">
        <v>2463</v>
      </c>
      <c r="F129" s="67" t="s">
        <v>64</v>
      </c>
      <c r="G129" s="67">
        <v>7069644691</v>
      </c>
      <c r="H129" s="67"/>
      <c r="I129" s="67"/>
      <c r="J129" s="67" t="s">
        <v>2718</v>
      </c>
    </row>
    <row r="130" spans="3:10">
      <c r="C130" s="66">
        <v>121</v>
      </c>
      <c r="D130" s="67" t="s">
        <v>2721</v>
      </c>
      <c r="E130" s="67" t="s">
        <v>2436</v>
      </c>
      <c r="F130" s="67" t="s">
        <v>132</v>
      </c>
      <c r="G130" s="67">
        <v>8130004645</v>
      </c>
      <c r="H130" s="67"/>
      <c r="I130" s="67"/>
      <c r="J130" s="67" t="s">
        <v>2722</v>
      </c>
    </row>
    <row r="131" spans="3:10">
      <c r="C131" s="66">
        <v>122</v>
      </c>
      <c r="D131" s="67" t="s">
        <v>2723</v>
      </c>
      <c r="E131" s="67" t="s">
        <v>2432</v>
      </c>
      <c r="F131" s="67" t="s">
        <v>33</v>
      </c>
      <c r="G131" s="67">
        <v>7062427374</v>
      </c>
      <c r="H131" s="68" t="s">
        <v>2724</v>
      </c>
      <c r="I131" s="67" t="s">
        <v>9</v>
      </c>
      <c r="J131" s="67" t="s">
        <v>2725</v>
      </c>
    </row>
    <row r="132" spans="3:10">
      <c r="C132" s="66">
        <v>123</v>
      </c>
      <c r="D132" s="67" t="s">
        <v>2726</v>
      </c>
      <c r="E132" s="67" t="s">
        <v>2445</v>
      </c>
      <c r="F132" s="67" t="s">
        <v>19</v>
      </c>
      <c r="G132" s="67">
        <v>8100257430</v>
      </c>
      <c r="H132" s="67"/>
      <c r="I132" s="67"/>
      <c r="J132" s="67" t="s">
        <v>2727</v>
      </c>
    </row>
    <row r="133" spans="3:10">
      <c r="C133" s="66">
        <v>124</v>
      </c>
      <c r="D133" s="67" t="s">
        <v>2728</v>
      </c>
      <c r="E133" s="67" t="s">
        <v>2429</v>
      </c>
      <c r="F133" s="67" t="s">
        <v>162</v>
      </c>
      <c r="G133" s="67">
        <v>8162846503</v>
      </c>
      <c r="H133" s="68" t="s">
        <v>2729</v>
      </c>
      <c r="I133" s="67" t="s">
        <v>12</v>
      </c>
      <c r="J133" s="67" t="s">
        <v>2725</v>
      </c>
    </row>
    <row r="134" spans="3:10">
      <c r="C134" s="66">
        <v>125</v>
      </c>
      <c r="D134" s="67" t="s">
        <v>2730</v>
      </c>
      <c r="E134" s="67" t="s">
        <v>2432</v>
      </c>
      <c r="F134" s="67" t="s">
        <v>118</v>
      </c>
      <c r="G134" s="67">
        <v>7030563936</v>
      </c>
      <c r="H134" s="68" t="s">
        <v>2731</v>
      </c>
      <c r="I134" s="67"/>
      <c r="J134" s="67" t="s">
        <v>2732</v>
      </c>
    </row>
    <row r="135" spans="3:10" ht="30">
      <c r="C135" s="66">
        <v>126</v>
      </c>
      <c r="D135" s="67" t="s">
        <v>2733</v>
      </c>
      <c r="E135" s="67" t="s">
        <v>2445</v>
      </c>
      <c r="F135" s="67" t="s">
        <v>71</v>
      </c>
      <c r="G135" s="67">
        <v>8186798622</v>
      </c>
      <c r="H135" s="68" t="s">
        <v>2734</v>
      </c>
      <c r="I135" s="67" t="s">
        <v>12</v>
      </c>
      <c r="J135" s="67" t="s">
        <v>2735</v>
      </c>
    </row>
    <row r="136" spans="3:10">
      <c r="C136" s="66">
        <v>127</v>
      </c>
      <c r="D136" s="67" t="s">
        <v>2736</v>
      </c>
      <c r="E136" s="67" t="s">
        <v>2432</v>
      </c>
      <c r="F136" s="67" t="s">
        <v>118</v>
      </c>
      <c r="G136" s="67">
        <v>8179058217</v>
      </c>
      <c r="H136" s="68" t="s">
        <v>2737</v>
      </c>
      <c r="I136" s="67" t="s">
        <v>12</v>
      </c>
      <c r="J136" s="67" t="s">
        <v>2738</v>
      </c>
    </row>
    <row r="137" spans="3:10">
      <c r="C137" s="66">
        <v>128</v>
      </c>
      <c r="D137" s="67"/>
      <c r="E137" s="67"/>
      <c r="F137" s="67"/>
      <c r="G137" s="67"/>
      <c r="H137" s="67"/>
      <c r="I137" s="67"/>
      <c r="J137" s="67"/>
    </row>
    <row r="138" spans="3:10">
      <c r="C138" s="66">
        <v>129</v>
      </c>
      <c r="D138" s="67" t="s">
        <v>2739</v>
      </c>
      <c r="E138" s="67" t="s">
        <v>2432</v>
      </c>
      <c r="F138" s="67" t="s">
        <v>33</v>
      </c>
      <c r="G138" s="67">
        <v>7084970736</v>
      </c>
      <c r="H138" s="68" t="s">
        <v>2740</v>
      </c>
      <c r="I138" s="67" t="s">
        <v>9</v>
      </c>
      <c r="J138" s="67" t="s">
        <v>2741</v>
      </c>
    </row>
    <row r="139" spans="3:10">
      <c r="C139" s="66">
        <v>130</v>
      </c>
      <c r="D139" s="67" t="s">
        <v>2742</v>
      </c>
      <c r="E139" s="67" t="s">
        <v>2436</v>
      </c>
      <c r="F139" s="67" t="s">
        <v>49</v>
      </c>
      <c r="G139" s="67">
        <v>8181624364</v>
      </c>
      <c r="H139" s="68" t="s">
        <v>2743</v>
      </c>
      <c r="I139" s="67" t="s">
        <v>9</v>
      </c>
      <c r="J139" s="67" t="s">
        <v>2744</v>
      </c>
    </row>
    <row r="140" spans="3:10">
      <c r="C140" s="66">
        <v>131</v>
      </c>
      <c r="D140" s="67" t="s">
        <v>2745</v>
      </c>
      <c r="E140" s="67" t="s">
        <v>2445</v>
      </c>
      <c r="F140" s="67" t="s">
        <v>45</v>
      </c>
      <c r="G140" s="67">
        <v>8161378656</v>
      </c>
      <c r="H140" s="67"/>
      <c r="I140" s="67"/>
      <c r="J140" s="67" t="s">
        <v>2744</v>
      </c>
    </row>
    <row r="141" spans="3:10">
      <c r="C141" s="66">
        <v>132</v>
      </c>
      <c r="D141" s="67" t="s">
        <v>2746</v>
      </c>
      <c r="E141" s="67" t="s">
        <v>2436</v>
      </c>
      <c r="F141" s="67" t="s">
        <v>218</v>
      </c>
      <c r="G141" s="67">
        <v>8130963932</v>
      </c>
      <c r="H141" s="67"/>
      <c r="I141" s="67"/>
      <c r="J141" s="67" t="s">
        <v>2744</v>
      </c>
    </row>
    <row r="142" spans="3:10">
      <c r="C142" s="66">
        <v>133</v>
      </c>
      <c r="D142" s="67" t="s">
        <v>2747</v>
      </c>
      <c r="E142" s="67" t="s">
        <v>2445</v>
      </c>
      <c r="F142" s="67" t="s">
        <v>19</v>
      </c>
      <c r="G142" s="67">
        <v>7065850070</v>
      </c>
      <c r="H142" s="67"/>
      <c r="I142" s="67"/>
      <c r="J142" s="67" t="s">
        <v>2748</v>
      </c>
    </row>
    <row r="143" spans="3:10">
      <c r="C143" s="66">
        <v>134</v>
      </c>
      <c r="D143" s="67" t="s">
        <v>2749</v>
      </c>
      <c r="E143" s="67" t="s">
        <v>2429</v>
      </c>
      <c r="F143" s="67" t="s">
        <v>2145</v>
      </c>
      <c r="G143" s="67">
        <v>8102308036</v>
      </c>
      <c r="H143" s="67"/>
      <c r="I143" s="67"/>
      <c r="J143" s="67" t="s">
        <v>2750</v>
      </c>
    </row>
    <row r="144" spans="3:10">
      <c r="C144" s="66">
        <v>135</v>
      </c>
      <c r="D144" s="67" t="s">
        <v>2751</v>
      </c>
      <c r="E144" s="67" t="s">
        <v>2432</v>
      </c>
      <c r="F144" s="67" t="s">
        <v>33</v>
      </c>
      <c r="G144" s="67">
        <v>7039396068</v>
      </c>
      <c r="H144" s="67"/>
      <c r="I144" s="67"/>
      <c r="J144" s="67" t="s">
        <v>2752</v>
      </c>
    </row>
    <row r="145" spans="3:10">
      <c r="C145" s="66">
        <v>136</v>
      </c>
      <c r="D145" s="67" t="s">
        <v>2753</v>
      </c>
      <c r="E145" s="67" t="s">
        <v>2432</v>
      </c>
      <c r="F145" s="67" t="s">
        <v>16</v>
      </c>
      <c r="G145" s="67">
        <v>8062133105</v>
      </c>
      <c r="H145" s="67"/>
      <c r="I145" s="67"/>
      <c r="J145" s="67" t="s">
        <v>2754</v>
      </c>
    </row>
    <row r="146" spans="3:10">
      <c r="C146" s="66">
        <v>137</v>
      </c>
      <c r="D146" s="67" t="s">
        <v>2755</v>
      </c>
      <c r="E146" s="67" t="s">
        <v>2432</v>
      </c>
      <c r="F146" s="67" t="s">
        <v>33</v>
      </c>
      <c r="G146" s="67">
        <v>8187718821</v>
      </c>
      <c r="H146" s="68" t="s">
        <v>2756</v>
      </c>
      <c r="I146" s="67" t="s">
        <v>12</v>
      </c>
      <c r="J146" s="67" t="s">
        <v>2757</v>
      </c>
    </row>
    <row r="147" spans="3:10">
      <c r="C147" s="66">
        <v>138</v>
      </c>
      <c r="D147" s="67" t="s">
        <v>2758</v>
      </c>
      <c r="E147" s="67" t="s">
        <v>2463</v>
      </c>
      <c r="F147" s="67" t="s">
        <v>23</v>
      </c>
      <c r="G147" s="67">
        <v>8102483789</v>
      </c>
      <c r="H147" s="68" t="s">
        <v>2759</v>
      </c>
      <c r="I147" s="67" t="s">
        <v>9</v>
      </c>
      <c r="J147" s="67" t="s">
        <v>2757</v>
      </c>
    </row>
    <row r="148" spans="3:10">
      <c r="C148" s="66">
        <v>139</v>
      </c>
      <c r="D148" s="67" t="s">
        <v>2760</v>
      </c>
      <c r="E148" s="67" t="s">
        <v>2442</v>
      </c>
      <c r="F148" s="67" t="s">
        <v>62</v>
      </c>
      <c r="G148" s="67">
        <v>7066039722</v>
      </c>
      <c r="H148" s="67"/>
      <c r="I148" s="67"/>
      <c r="J148" s="67" t="s">
        <v>2761</v>
      </c>
    </row>
    <row r="149" spans="3:10">
      <c r="C149" s="66">
        <v>140</v>
      </c>
      <c r="D149" s="67" t="s">
        <v>2762</v>
      </c>
      <c r="E149" s="67" t="s">
        <v>2442</v>
      </c>
      <c r="F149" s="67" t="s">
        <v>31</v>
      </c>
      <c r="G149" s="67">
        <v>8071160555</v>
      </c>
      <c r="H149" s="68" t="s">
        <v>2763</v>
      </c>
      <c r="I149" s="67" t="s">
        <v>12</v>
      </c>
      <c r="J149" s="67" t="s">
        <v>2764</v>
      </c>
    </row>
    <row r="150" spans="3:10">
      <c r="C150" s="66">
        <v>141</v>
      </c>
      <c r="D150" s="67" t="s">
        <v>2765</v>
      </c>
      <c r="E150" s="67" t="s">
        <v>2432</v>
      </c>
      <c r="F150" s="67" t="s">
        <v>38</v>
      </c>
      <c r="G150" s="67">
        <v>8063121221</v>
      </c>
      <c r="H150" s="68" t="s">
        <v>2766</v>
      </c>
      <c r="I150" s="67"/>
      <c r="J150" s="67" t="s">
        <v>2764</v>
      </c>
    </row>
    <row r="151" spans="3:10">
      <c r="C151" s="66">
        <v>142</v>
      </c>
      <c r="D151" s="67" t="s">
        <v>2767</v>
      </c>
      <c r="E151" s="67" t="s">
        <v>2463</v>
      </c>
      <c r="F151" s="67" t="s">
        <v>2768</v>
      </c>
      <c r="G151" s="67">
        <v>8161133757</v>
      </c>
      <c r="H151" s="68" t="s">
        <v>2769</v>
      </c>
      <c r="I151" s="67" t="s">
        <v>9</v>
      </c>
      <c r="J151" s="67" t="s">
        <v>2764</v>
      </c>
    </row>
    <row r="152" spans="3:10">
      <c r="C152" s="66">
        <v>143</v>
      </c>
      <c r="D152" s="67" t="s">
        <v>2770</v>
      </c>
      <c r="E152" s="67" t="s">
        <v>2442</v>
      </c>
      <c r="F152" s="67" t="s">
        <v>31</v>
      </c>
      <c r="G152" s="67">
        <v>9032985942</v>
      </c>
      <c r="H152" s="68" t="s">
        <v>2771</v>
      </c>
      <c r="I152" s="67" t="s">
        <v>12</v>
      </c>
      <c r="J152" s="67" t="s">
        <v>2772</v>
      </c>
    </row>
    <row r="153" spans="3:10">
      <c r="C153" s="66">
        <v>144</v>
      </c>
      <c r="D153" s="67" t="s">
        <v>2773</v>
      </c>
      <c r="E153" s="67" t="s">
        <v>2432</v>
      </c>
      <c r="F153" s="67" t="s">
        <v>29</v>
      </c>
      <c r="G153" s="67">
        <v>8163788912</v>
      </c>
      <c r="H153" s="67"/>
      <c r="I153" s="67"/>
      <c r="J153" s="67" t="s">
        <v>2772</v>
      </c>
    </row>
    <row r="154" spans="3:10">
      <c r="C154" s="66">
        <v>145</v>
      </c>
      <c r="D154" s="67" t="s">
        <v>2774</v>
      </c>
      <c r="E154" s="67" t="s">
        <v>2432</v>
      </c>
      <c r="F154" s="67" t="s">
        <v>16</v>
      </c>
      <c r="G154" s="67">
        <v>7037808375</v>
      </c>
      <c r="H154" s="67"/>
      <c r="I154" s="67"/>
      <c r="J154" s="67" t="s">
        <v>2775</v>
      </c>
    </row>
    <row r="155" spans="3:10">
      <c r="C155" s="66">
        <v>146</v>
      </c>
      <c r="D155" s="67" t="s">
        <v>2776</v>
      </c>
      <c r="E155" s="67" t="s">
        <v>2463</v>
      </c>
      <c r="F155" s="67" t="s">
        <v>53</v>
      </c>
      <c r="G155" s="67">
        <v>8100991362</v>
      </c>
      <c r="H155" s="67"/>
      <c r="I155" s="67"/>
      <c r="J155" s="67" t="s">
        <v>2775</v>
      </c>
    </row>
    <row r="156" spans="3:10">
      <c r="C156" s="66">
        <v>147</v>
      </c>
      <c r="D156" s="67"/>
      <c r="E156" s="67"/>
      <c r="F156" s="67"/>
      <c r="G156" s="67"/>
      <c r="H156" s="67"/>
      <c r="I156" s="67"/>
      <c r="J156" s="67"/>
    </row>
    <row r="157" spans="3:10">
      <c r="C157" s="66">
        <v>148</v>
      </c>
      <c r="D157" s="67" t="s">
        <v>2777</v>
      </c>
      <c r="E157" s="67" t="s">
        <v>2442</v>
      </c>
      <c r="F157" s="67" t="s">
        <v>31</v>
      </c>
      <c r="G157" s="67">
        <v>8131387552</v>
      </c>
      <c r="H157" s="67"/>
      <c r="I157" s="67"/>
      <c r="J157" s="67" t="s">
        <v>2778</v>
      </c>
    </row>
    <row r="158" spans="3:10">
      <c r="C158" s="66">
        <v>149</v>
      </c>
      <c r="D158" s="67" t="s">
        <v>2779</v>
      </c>
      <c r="E158" s="67" t="s">
        <v>2445</v>
      </c>
      <c r="F158" s="67" t="s">
        <v>45</v>
      </c>
      <c r="G158" s="67">
        <v>8139279193</v>
      </c>
      <c r="H158" s="68" t="s">
        <v>2780</v>
      </c>
      <c r="I158" s="67" t="s">
        <v>12</v>
      </c>
      <c r="J158" s="67" t="s">
        <v>2778</v>
      </c>
    </row>
    <row r="159" spans="3:10">
      <c r="C159" s="66">
        <v>150</v>
      </c>
      <c r="D159" s="67" t="s">
        <v>2781</v>
      </c>
      <c r="E159" s="67" t="s">
        <v>2442</v>
      </c>
      <c r="F159" s="67" t="s">
        <v>14</v>
      </c>
      <c r="G159" s="67">
        <v>8062084964</v>
      </c>
      <c r="H159" s="68" t="s">
        <v>2782</v>
      </c>
      <c r="I159" s="67" t="s">
        <v>12</v>
      </c>
      <c r="J159" s="67" t="s">
        <v>2778</v>
      </c>
    </row>
    <row r="160" spans="3:10">
      <c r="C160" s="66">
        <v>151</v>
      </c>
      <c r="D160" s="67" t="s">
        <v>2783</v>
      </c>
      <c r="E160" s="67" t="s">
        <v>2445</v>
      </c>
      <c r="F160" s="67" t="s">
        <v>21</v>
      </c>
      <c r="G160" s="67">
        <v>8103436020</v>
      </c>
      <c r="H160" s="68" t="s">
        <v>2784</v>
      </c>
      <c r="I160" s="67"/>
      <c r="J160" s="67" t="s">
        <v>2785</v>
      </c>
    </row>
    <row r="161" spans="3:10">
      <c r="C161" s="66">
        <v>152</v>
      </c>
      <c r="D161" s="67" t="s">
        <v>2786</v>
      </c>
      <c r="E161" s="67" t="s">
        <v>2442</v>
      </c>
      <c r="F161" s="67" t="s">
        <v>213</v>
      </c>
      <c r="G161" s="67">
        <v>8167237626</v>
      </c>
      <c r="H161" s="68" t="s">
        <v>2787</v>
      </c>
      <c r="I161" s="67" t="s">
        <v>12</v>
      </c>
      <c r="J161" s="67" t="s">
        <v>2788</v>
      </c>
    </row>
    <row r="162" spans="3:10">
      <c r="C162" s="66">
        <v>153</v>
      </c>
      <c r="D162" s="67" t="s">
        <v>2789</v>
      </c>
      <c r="E162" s="67" t="s">
        <v>2445</v>
      </c>
      <c r="F162" s="67" t="s">
        <v>19</v>
      </c>
      <c r="G162" s="67">
        <v>8081430332</v>
      </c>
      <c r="H162" s="67"/>
      <c r="I162" s="67"/>
      <c r="J162" s="67" t="s">
        <v>2788</v>
      </c>
    </row>
    <row r="163" spans="3:10">
      <c r="C163" s="66">
        <v>154</v>
      </c>
      <c r="D163" s="67" t="s">
        <v>2790</v>
      </c>
      <c r="E163" s="67" t="s">
        <v>2463</v>
      </c>
      <c r="F163" s="67" t="s">
        <v>43</v>
      </c>
      <c r="G163" s="67">
        <v>8136617017</v>
      </c>
      <c r="H163" s="68" t="s">
        <v>2791</v>
      </c>
      <c r="I163" s="67" t="s">
        <v>12</v>
      </c>
      <c r="J163" s="67" t="s">
        <v>2792</v>
      </c>
    </row>
    <row r="164" spans="3:10">
      <c r="C164" s="66">
        <v>155</v>
      </c>
      <c r="D164" s="67" t="s">
        <v>2793</v>
      </c>
      <c r="E164" s="67" t="s">
        <v>2436</v>
      </c>
      <c r="F164" s="67" t="s">
        <v>49</v>
      </c>
      <c r="G164" s="67">
        <v>8136058141</v>
      </c>
      <c r="H164" s="67"/>
      <c r="I164" s="67"/>
      <c r="J164" s="67" t="s">
        <v>2794</v>
      </c>
    </row>
    <row r="165" spans="3:10">
      <c r="C165" s="66">
        <v>156</v>
      </c>
      <c r="D165" s="67" t="s">
        <v>2795</v>
      </c>
      <c r="E165" s="67" t="s">
        <v>2463</v>
      </c>
      <c r="F165" s="67" t="s">
        <v>2768</v>
      </c>
      <c r="G165" s="67">
        <v>7037186252</v>
      </c>
      <c r="H165" s="68" t="s">
        <v>2796</v>
      </c>
      <c r="I165" s="67" t="s">
        <v>12</v>
      </c>
      <c r="J165" s="67" t="s">
        <v>2794</v>
      </c>
    </row>
    <row r="166" spans="3:10">
      <c r="C166" s="66">
        <v>157</v>
      </c>
      <c r="D166" s="67" t="s">
        <v>2797</v>
      </c>
      <c r="E166" s="67" t="s">
        <v>2436</v>
      </c>
      <c r="F166" s="67" t="s">
        <v>1962</v>
      </c>
      <c r="G166" s="67">
        <v>8065170937</v>
      </c>
      <c r="H166" s="68" t="s">
        <v>2798</v>
      </c>
      <c r="I166" s="67" t="s">
        <v>9</v>
      </c>
      <c r="J166" s="67" t="s">
        <v>2794</v>
      </c>
    </row>
    <row r="167" spans="3:10">
      <c r="C167" s="66">
        <v>158</v>
      </c>
      <c r="D167" s="67" t="s">
        <v>2799</v>
      </c>
      <c r="E167" s="67" t="s">
        <v>2432</v>
      </c>
      <c r="F167" s="67" t="s">
        <v>10</v>
      </c>
      <c r="G167" s="67">
        <v>8169819600</v>
      </c>
      <c r="H167" s="68" t="s">
        <v>2800</v>
      </c>
      <c r="I167" s="67" t="s">
        <v>12</v>
      </c>
      <c r="J167" s="67" t="s">
        <v>2801</v>
      </c>
    </row>
    <row r="168" spans="3:10">
      <c r="C168" s="66">
        <v>159</v>
      </c>
      <c r="D168" s="67" t="s">
        <v>2802</v>
      </c>
      <c r="E168" s="67" t="s">
        <v>2442</v>
      </c>
      <c r="F168" s="67" t="s">
        <v>62</v>
      </c>
      <c r="G168" s="67">
        <v>8176497044</v>
      </c>
      <c r="H168" s="68" t="s">
        <v>2803</v>
      </c>
      <c r="I168" s="67"/>
      <c r="J168" s="67" t="s">
        <v>2801</v>
      </c>
    </row>
    <row r="169" spans="3:10">
      <c r="C169" s="66">
        <v>160</v>
      </c>
      <c r="D169" s="67" t="s">
        <v>2804</v>
      </c>
      <c r="E169" s="67" t="s">
        <v>2429</v>
      </c>
      <c r="F169" s="67" t="s">
        <v>57</v>
      </c>
      <c r="G169" s="67">
        <v>8108658225</v>
      </c>
      <c r="H169" s="68" t="s">
        <v>2805</v>
      </c>
      <c r="I169" s="67" t="s">
        <v>12</v>
      </c>
      <c r="J169" s="67" t="s">
        <v>2806</v>
      </c>
    </row>
    <row r="170" spans="3:10">
      <c r="C170" s="66">
        <v>161</v>
      </c>
      <c r="D170" s="67" t="s">
        <v>2807</v>
      </c>
      <c r="E170" s="67" t="s">
        <v>2429</v>
      </c>
      <c r="F170" s="67" t="s">
        <v>57</v>
      </c>
      <c r="G170" s="67">
        <v>7033416630</v>
      </c>
      <c r="H170" s="67" t="s">
        <v>2808</v>
      </c>
      <c r="I170" s="67"/>
      <c r="J170" s="67" t="s">
        <v>2806</v>
      </c>
    </row>
    <row r="171" spans="3:10">
      <c r="C171" s="66">
        <v>162</v>
      </c>
      <c r="D171" s="67" t="s">
        <v>2809</v>
      </c>
      <c r="E171" s="67" t="s">
        <v>2463</v>
      </c>
      <c r="F171" s="67" t="s">
        <v>64</v>
      </c>
      <c r="G171" s="67">
        <v>7036266050</v>
      </c>
      <c r="H171" s="68" t="s">
        <v>2810</v>
      </c>
      <c r="I171" s="67" t="s">
        <v>9</v>
      </c>
      <c r="J171" s="67" t="s">
        <v>2811</v>
      </c>
    </row>
    <row r="172" spans="3:10">
      <c r="C172" s="66">
        <v>163</v>
      </c>
      <c r="D172" s="67" t="s">
        <v>2812</v>
      </c>
      <c r="E172" s="67" t="s">
        <v>2463</v>
      </c>
      <c r="F172" s="67" t="s">
        <v>77</v>
      </c>
      <c r="G172" s="67">
        <v>8034543960</v>
      </c>
      <c r="H172" s="67"/>
      <c r="I172" s="67"/>
      <c r="J172" s="67" t="s">
        <v>2811</v>
      </c>
    </row>
    <row r="173" spans="3:10" ht="30">
      <c r="C173" s="66">
        <v>164</v>
      </c>
      <c r="D173" s="67" t="s">
        <v>2813</v>
      </c>
      <c r="E173" s="67" t="s">
        <v>2432</v>
      </c>
      <c r="F173" s="67" t="s">
        <v>118</v>
      </c>
      <c r="G173" s="67">
        <v>8025116947</v>
      </c>
      <c r="H173" s="68" t="s">
        <v>2814</v>
      </c>
      <c r="I173" s="67" t="s">
        <v>12</v>
      </c>
      <c r="J173" s="67" t="s">
        <v>2811</v>
      </c>
    </row>
    <row r="174" spans="3:10">
      <c r="C174" s="66">
        <v>165</v>
      </c>
      <c r="D174" s="67" t="s">
        <v>2815</v>
      </c>
      <c r="E174" s="67" t="s">
        <v>2442</v>
      </c>
      <c r="F174" s="67" t="s">
        <v>14</v>
      </c>
      <c r="G174" s="67">
        <v>8135356264</v>
      </c>
      <c r="H174" s="67"/>
      <c r="I174" s="67"/>
      <c r="J174" s="67" t="s">
        <v>2816</v>
      </c>
    </row>
    <row r="175" spans="3:10">
      <c r="C175" s="66">
        <v>166</v>
      </c>
      <c r="D175" s="67" t="s">
        <v>2817</v>
      </c>
      <c r="E175" s="67" t="s">
        <v>2432</v>
      </c>
      <c r="F175" s="67" t="s">
        <v>207</v>
      </c>
      <c r="G175" s="67">
        <v>8108461584</v>
      </c>
      <c r="H175" s="68" t="s">
        <v>2818</v>
      </c>
      <c r="I175" s="67" t="s">
        <v>12</v>
      </c>
      <c r="J175" s="67" t="s">
        <v>2816</v>
      </c>
    </row>
    <row r="176" spans="3:10">
      <c r="C176" s="66">
        <v>167</v>
      </c>
      <c r="D176" s="67" t="s">
        <v>2819</v>
      </c>
      <c r="E176" s="67" t="s">
        <v>2436</v>
      </c>
      <c r="F176" s="67" t="s">
        <v>25</v>
      </c>
      <c r="G176" s="67">
        <v>8036957592</v>
      </c>
      <c r="H176" s="68" t="s">
        <v>2820</v>
      </c>
      <c r="I176" s="67" t="s">
        <v>9</v>
      </c>
      <c r="J176" s="67" t="s">
        <v>2821</v>
      </c>
    </row>
    <row r="177" spans="3:10">
      <c r="C177" s="66">
        <v>168</v>
      </c>
      <c r="D177" s="67" t="s">
        <v>2822</v>
      </c>
      <c r="E177" s="67" t="s">
        <v>2432</v>
      </c>
      <c r="F177" s="67" t="s">
        <v>33</v>
      </c>
      <c r="G177" s="67">
        <v>8135945669</v>
      </c>
      <c r="H177" s="68" t="s">
        <v>2823</v>
      </c>
      <c r="I177" s="67" t="s">
        <v>12</v>
      </c>
      <c r="J177" s="67" t="s">
        <v>2824</v>
      </c>
    </row>
    <row r="178" spans="3:10">
      <c r="C178" s="66">
        <v>169</v>
      </c>
      <c r="D178" s="67" t="s">
        <v>2825</v>
      </c>
      <c r="E178" s="67" t="s">
        <v>2432</v>
      </c>
      <c r="F178" s="67" t="s">
        <v>118</v>
      </c>
      <c r="G178" s="67">
        <v>8035897857</v>
      </c>
      <c r="H178" s="67"/>
      <c r="I178" s="67"/>
      <c r="J178" s="67" t="s">
        <v>2826</v>
      </c>
    </row>
    <row r="179" spans="3:10">
      <c r="C179" s="66">
        <v>170</v>
      </c>
      <c r="D179" s="67" t="s">
        <v>2827</v>
      </c>
      <c r="E179" s="67" t="s">
        <v>2429</v>
      </c>
      <c r="F179" s="67" t="s">
        <v>162</v>
      </c>
      <c r="G179" s="67">
        <v>8136563699</v>
      </c>
      <c r="H179" s="67"/>
      <c r="I179" s="67"/>
      <c r="J179" s="67" t="s">
        <v>2828</v>
      </c>
    </row>
    <row r="180" spans="3:10">
      <c r="C180" s="66">
        <v>171</v>
      </c>
      <c r="D180" s="67" t="s">
        <v>2829</v>
      </c>
      <c r="E180" s="67" t="s">
        <v>2432</v>
      </c>
      <c r="F180" s="67" t="s">
        <v>27</v>
      </c>
      <c r="G180" s="67">
        <v>8132354454</v>
      </c>
      <c r="H180" s="68" t="s">
        <v>2830</v>
      </c>
      <c r="I180" s="67"/>
      <c r="J180" s="67" t="s">
        <v>2828</v>
      </c>
    </row>
    <row r="181" spans="3:10">
      <c r="C181" s="66">
        <v>172</v>
      </c>
      <c r="D181" s="67" t="s">
        <v>2831</v>
      </c>
      <c r="E181" s="67" t="s">
        <v>2436</v>
      </c>
      <c r="F181" s="67" t="s">
        <v>49</v>
      </c>
      <c r="G181" s="67">
        <v>8108623249</v>
      </c>
      <c r="H181" s="68" t="s">
        <v>2832</v>
      </c>
      <c r="I181" s="67" t="s">
        <v>12</v>
      </c>
      <c r="J181" s="67" t="s">
        <v>2833</v>
      </c>
    </row>
    <row r="182" spans="3:10">
      <c r="C182" s="66">
        <v>173</v>
      </c>
      <c r="D182" s="67" t="s">
        <v>2834</v>
      </c>
      <c r="E182" s="67" t="s">
        <v>2432</v>
      </c>
      <c r="F182" s="67" t="s">
        <v>118</v>
      </c>
      <c r="G182" s="67">
        <v>8085240192</v>
      </c>
      <c r="H182" s="68" t="s">
        <v>2835</v>
      </c>
      <c r="I182" s="67"/>
      <c r="J182" s="67" t="s">
        <v>2836</v>
      </c>
    </row>
    <row r="183" spans="3:10">
      <c r="C183" s="66">
        <v>174</v>
      </c>
      <c r="D183" s="67" t="s">
        <v>2837</v>
      </c>
      <c r="E183" s="67" t="s">
        <v>2436</v>
      </c>
      <c r="F183" s="67" t="s">
        <v>138</v>
      </c>
      <c r="G183" s="67">
        <v>8072498752</v>
      </c>
      <c r="H183" s="67"/>
      <c r="I183" s="67"/>
      <c r="J183" s="67" t="s">
        <v>2838</v>
      </c>
    </row>
    <row r="184" spans="3:10">
      <c r="C184" s="66">
        <v>175</v>
      </c>
      <c r="D184" s="67" t="s">
        <v>2839</v>
      </c>
      <c r="E184" s="67" t="s">
        <v>2463</v>
      </c>
      <c r="F184" s="67" t="s">
        <v>75</v>
      </c>
      <c r="G184" s="67">
        <v>8160248430</v>
      </c>
      <c r="H184" s="68" t="s">
        <v>2840</v>
      </c>
      <c r="I184" s="67"/>
      <c r="J184" s="67" t="s">
        <v>2838</v>
      </c>
    </row>
    <row r="185" spans="3:10">
      <c r="C185" s="66">
        <v>176</v>
      </c>
      <c r="D185" s="67" t="s">
        <v>2841</v>
      </c>
      <c r="E185" s="67" t="s">
        <v>2463</v>
      </c>
      <c r="F185" s="67" t="s">
        <v>43</v>
      </c>
      <c r="G185" s="67">
        <v>8103143156</v>
      </c>
      <c r="H185" s="68" t="s">
        <v>2842</v>
      </c>
      <c r="I185" s="67"/>
      <c r="J185" s="67" t="s">
        <v>2843</v>
      </c>
    </row>
    <row r="186" spans="3:10" ht="24">
      <c r="C186" s="66">
        <v>177</v>
      </c>
      <c r="D186" s="67" t="s">
        <v>2844</v>
      </c>
      <c r="E186" s="67" t="s">
        <v>2436</v>
      </c>
      <c r="F186" s="67" t="s">
        <v>218</v>
      </c>
      <c r="G186" s="67">
        <v>8168338204</v>
      </c>
      <c r="H186" s="68" t="s">
        <v>2845</v>
      </c>
      <c r="I186" s="67" t="s">
        <v>12</v>
      </c>
      <c r="J186" s="67" t="s">
        <v>2846</v>
      </c>
    </row>
    <row r="187" spans="3:10">
      <c r="C187" s="66">
        <v>178</v>
      </c>
      <c r="D187" s="67" t="s">
        <v>2847</v>
      </c>
      <c r="E187" s="67" t="s">
        <v>2432</v>
      </c>
      <c r="F187" s="67" t="s">
        <v>16</v>
      </c>
      <c r="G187" s="67">
        <v>8163320776</v>
      </c>
      <c r="H187" s="68" t="s">
        <v>2848</v>
      </c>
      <c r="I187" s="67" t="s">
        <v>12</v>
      </c>
      <c r="J187" s="67" t="s">
        <v>2849</v>
      </c>
    </row>
    <row r="188" spans="3:10">
      <c r="C188" s="66">
        <v>179</v>
      </c>
      <c r="D188" s="67" t="s">
        <v>2850</v>
      </c>
      <c r="E188" s="67" t="s">
        <v>2463</v>
      </c>
      <c r="F188" s="67" t="s">
        <v>75</v>
      </c>
      <c r="G188" s="67">
        <v>8108106849</v>
      </c>
      <c r="H188" s="68" t="s">
        <v>2851</v>
      </c>
      <c r="I188" s="67"/>
      <c r="J188" s="67" t="s">
        <v>2852</v>
      </c>
    </row>
    <row r="189" spans="3:10">
      <c r="C189" s="66">
        <v>180</v>
      </c>
      <c r="D189" s="67"/>
      <c r="E189" s="67"/>
      <c r="F189" s="67"/>
      <c r="G189" s="67"/>
      <c r="H189" s="67"/>
      <c r="I189" s="67"/>
      <c r="J189" s="67"/>
    </row>
    <row r="190" spans="3:10">
      <c r="C190" s="66">
        <v>181</v>
      </c>
      <c r="D190" s="67" t="s">
        <v>2853</v>
      </c>
      <c r="E190" s="67" t="s">
        <v>2463</v>
      </c>
      <c r="F190" s="67" t="s">
        <v>43</v>
      </c>
      <c r="G190" s="67">
        <v>8138312588</v>
      </c>
      <c r="H190" s="68" t="s">
        <v>2854</v>
      </c>
      <c r="I190" s="67"/>
      <c r="J190" s="67" t="s">
        <v>2855</v>
      </c>
    </row>
    <row r="191" spans="3:10">
      <c r="C191" s="66">
        <v>182</v>
      </c>
      <c r="D191" s="67" t="s">
        <v>2856</v>
      </c>
      <c r="E191" s="67" t="s">
        <v>2432</v>
      </c>
      <c r="F191" s="67" t="s">
        <v>207</v>
      </c>
      <c r="G191" s="67">
        <v>8108094431</v>
      </c>
      <c r="H191" s="68" t="s">
        <v>2857</v>
      </c>
      <c r="I191" s="67"/>
      <c r="J191" s="67" t="s">
        <v>2858</v>
      </c>
    </row>
    <row r="192" spans="3:10">
      <c r="C192" s="66">
        <v>183</v>
      </c>
      <c r="D192" s="67" t="s">
        <v>2859</v>
      </c>
      <c r="E192" s="67" t="s">
        <v>2860</v>
      </c>
      <c r="F192" s="67" t="s">
        <v>113</v>
      </c>
      <c r="G192" s="67">
        <v>8134005802</v>
      </c>
      <c r="H192" s="67"/>
      <c r="I192" s="67"/>
      <c r="J192" s="67" t="s">
        <v>2861</v>
      </c>
    </row>
    <row r="193" spans="3:10">
      <c r="C193" s="66">
        <v>184</v>
      </c>
      <c r="D193" s="67" t="s">
        <v>2862</v>
      </c>
      <c r="E193" s="67" t="s">
        <v>2442</v>
      </c>
      <c r="F193" s="67" t="s">
        <v>62</v>
      </c>
      <c r="G193" s="67">
        <v>8025241332</v>
      </c>
      <c r="H193" s="67"/>
      <c r="I193" s="67"/>
      <c r="J193" s="67" t="s">
        <v>2863</v>
      </c>
    </row>
    <row r="194" spans="3:10">
      <c r="C194" s="66">
        <v>185</v>
      </c>
      <c r="D194" s="67" t="s">
        <v>2864</v>
      </c>
      <c r="E194" s="67" t="s">
        <v>2463</v>
      </c>
      <c r="F194" s="67" t="s">
        <v>64</v>
      </c>
      <c r="G194" s="67">
        <v>8107213453</v>
      </c>
      <c r="H194" s="68" t="s">
        <v>2865</v>
      </c>
      <c r="I194" s="67"/>
      <c r="J194" s="67" t="s">
        <v>2863</v>
      </c>
    </row>
    <row r="195" spans="3:10">
      <c r="C195" s="66">
        <v>186</v>
      </c>
      <c r="D195" s="67" t="s">
        <v>2866</v>
      </c>
      <c r="E195" s="67" t="s">
        <v>2432</v>
      </c>
      <c r="F195" s="67" t="s">
        <v>33</v>
      </c>
      <c r="G195" s="67">
        <v>8137592285</v>
      </c>
      <c r="H195" s="68" t="s">
        <v>2867</v>
      </c>
      <c r="I195" s="67"/>
      <c r="J195" s="67" t="s">
        <v>2868</v>
      </c>
    </row>
    <row r="196" spans="3:10">
      <c r="C196" s="66">
        <v>187</v>
      </c>
      <c r="D196" s="67" t="s">
        <v>2869</v>
      </c>
      <c r="E196" s="67" t="s">
        <v>2442</v>
      </c>
      <c r="F196" s="67" t="s">
        <v>62</v>
      </c>
      <c r="G196" s="67">
        <v>7030508174</v>
      </c>
      <c r="H196" s="67"/>
      <c r="I196" s="67"/>
      <c r="J196" s="67" t="s">
        <v>2870</v>
      </c>
    </row>
    <row r="197" spans="3:10">
      <c r="C197" s="66">
        <v>188</v>
      </c>
      <c r="D197" s="67" t="s">
        <v>2871</v>
      </c>
      <c r="E197" s="67" t="s">
        <v>2432</v>
      </c>
      <c r="F197" s="67" t="s">
        <v>38</v>
      </c>
      <c r="G197" s="67">
        <v>8039465943</v>
      </c>
      <c r="H197" s="68" t="s">
        <v>2872</v>
      </c>
      <c r="I197" s="67"/>
      <c r="J197" s="67" t="s">
        <v>2873</v>
      </c>
    </row>
    <row r="198" spans="3:10">
      <c r="C198" s="66">
        <v>189</v>
      </c>
      <c r="D198" s="67" t="s">
        <v>2874</v>
      </c>
      <c r="E198" s="67" t="s">
        <v>2445</v>
      </c>
      <c r="F198" s="67" t="s">
        <v>45</v>
      </c>
      <c r="G198" s="67">
        <v>7063316028</v>
      </c>
      <c r="H198" s="67"/>
      <c r="I198" s="67"/>
      <c r="J198" s="67" t="s">
        <v>2873</v>
      </c>
    </row>
    <row r="199" spans="3:10">
      <c r="C199" s="66">
        <v>190</v>
      </c>
      <c r="D199" s="67" t="s">
        <v>2875</v>
      </c>
      <c r="E199" s="67" t="s">
        <v>2432</v>
      </c>
      <c r="F199" s="67" t="s">
        <v>10</v>
      </c>
      <c r="G199" s="67">
        <v>8188641225</v>
      </c>
      <c r="H199" s="67"/>
      <c r="I199" s="67"/>
      <c r="J199" s="67" t="s">
        <v>2876</v>
      </c>
    </row>
    <row r="200" spans="3:10">
      <c r="C200" s="66">
        <v>191</v>
      </c>
      <c r="D200" s="67" t="s">
        <v>2877</v>
      </c>
      <c r="E200" s="67" t="s">
        <v>2442</v>
      </c>
      <c r="F200" s="67" t="s">
        <v>41</v>
      </c>
      <c r="G200" s="67">
        <v>8060489016</v>
      </c>
      <c r="H200" s="67"/>
      <c r="I200" s="67"/>
      <c r="J200" s="67" t="s">
        <v>2876</v>
      </c>
    </row>
    <row r="201" spans="3:10">
      <c r="C201" s="66">
        <v>192</v>
      </c>
      <c r="D201" s="67" t="s">
        <v>2878</v>
      </c>
      <c r="E201" s="67" t="s">
        <v>2436</v>
      </c>
      <c r="F201" s="67" t="s">
        <v>49</v>
      </c>
      <c r="G201" s="67">
        <v>7034865800</v>
      </c>
      <c r="H201" s="68" t="s">
        <v>2879</v>
      </c>
      <c r="I201" s="67" t="s">
        <v>9</v>
      </c>
      <c r="J201" s="67" t="s">
        <v>2876</v>
      </c>
    </row>
    <row r="202" spans="3:10">
      <c r="C202" s="66">
        <v>193</v>
      </c>
      <c r="D202" s="67" t="s">
        <v>2880</v>
      </c>
      <c r="E202" s="67" t="s">
        <v>2436</v>
      </c>
      <c r="F202" s="67" t="s">
        <v>96</v>
      </c>
      <c r="G202" s="67">
        <v>8111912228</v>
      </c>
      <c r="H202" s="67"/>
      <c r="I202" s="67"/>
      <c r="J202" s="67" t="s">
        <v>2881</v>
      </c>
    </row>
    <row r="203" spans="3:10">
      <c r="C203" s="66">
        <v>194</v>
      </c>
      <c r="D203" s="67" t="s">
        <v>2882</v>
      </c>
      <c r="E203" s="67" t="s">
        <v>2442</v>
      </c>
      <c r="F203" s="67" t="s">
        <v>62</v>
      </c>
      <c r="G203" s="67">
        <v>7038278974</v>
      </c>
      <c r="H203" s="68" t="s">
        <v>2883</v>
      </c>
      <c r="I203" s="67"/>
      <c r="J203" s="67" t="s">
        <v>2884</v>
      </c>
    </row>
    <row r="204" spans="3:10">
      <c r="C204" s="66">
        <v>185</v>
      </c>
      <c r="D204" s="67" t="s">
        <v>2885</v>
      </c>
      <c r="E204" s="67" t="s">
        <v>2432</v>
      </c>
      <c r="F204" s="67" t="s">
        <v>33</v>
      </c>
      <c r="G204" s="67">
        <v>7062427374</v>
      </c>
      <c r="H204" s="68" t="s">
        <v>2886</v>
      </c>
      <c r="I204" s="67" t="s">
        <v>9</v>
      </c>
      <c r="J204" s="67" t="s">
        <v>2887</v>
      </c>
    </row>
    <row r="205" spans="3:10">
      <c r="C205" s="66">
        <v>196</v>
      </c>
      <c r="D205" s="67" t="s">
        <v>2888</v>
      </c>
      <c r="E205" s="67" t="s">
        <v>2445</v>
      </c>
      <c r="F205" s="67" t="s">
        <v>19</v>
      </c>
      <c r="G205" s="67">
        <v>8135387664</v>
      </c>
      <c r="H205" s="67"/>
      <c r="I205" s="67"/>
      <c r="J205" s="67" t="s">
        <v>2889</v>
      </c>
    </row>
    <row r="206" spans="3:10">
      <c r="C206" s="66">
        <v>197</v>
      </c>
      <c r="D206" s="67" t="s">
        <v>2890</v>
      </c>
      <c r="E206" s="67" t="s">
        <v>2432</v>
      </c>
      <c r="F206" s="67" t="s">
        <v>33</v>
      </c>
      <c r="G206" s="67">
        <v>8166495561</v>
      </c>
      <c r="H206" s="67" t="s">
        <v>2891</v>
      </c>
      <c r="I206" s="67" t="s">
        <v>12</v>
      </c>
      <c r="J206" s="67" t="s">
        <v>2892</v>
      </c>
    </row>
    <row r="207" spans="3:10">
      <c r="C207" s="66">
        <v>198</v>
      </c>
      <c r="D207" s="67"/>
      <c r="E207" s="67"/>
      <c r="F207" s="67"/>
      <c r="G207" s="67"/>
      <c r="H207" s="67"/>
      <c r="I207" s="67"/>
      <c r="J207" s="67"/>
    </row>
    <row r="208" spans="3:10">
      <c r="C208" s="66">
        <v>199</v>
      </c>
      <c r="D208" s="67"/>
      <c r="E208" s="67"/>
      <c r="F208" s="67"/>
      <c r="G208" s="67"/>
      <c r="H208" s="67"/>
      <c r="I208" s="67"/>
      <c r="J208" s="67"/>
    </row>
    <row r="209" spans="3:10">
      <c r="C209" s="66">
        <v>200</v>
      </c>
      <c r="D209" s="67" t="s">
        <v>2893</v>
      </c>
      <c r="E209" s="67" t="s">
        <v>2445</v>
      </c>
      <c r="F209" s="67" t="s">
        <v>45</v>
      </c>
      <c r="G209" s="67">
        <v>7065597080</v>
      </c>
      <c r="H209" s="68" t="s">
        <v>2894</v>
      </c>
      <c r="I209" s="67" t="s">
        <v>2895</v>
      </c>
      <c r="J209" s="67" t="s">
        <v>2896</v>
      </c>
    </row>
    <row r="210" spans="3:10">
      <c r="C210" s="66">
        <v>201</v>
      </c>
      <c r="D210" s="67" t="s">
        <v>2897</v>
      </c>
      <c r="E210" s="67" t="s">
        <v>2436</v>
      </c>
      <c r="F210" s="67" t="s">
        <v>49</v>
      </c>
      <c r="G210" s="67">
        <v>8104281382</v>
      </c>
      <c r="H210" s="67"/>
      <c r="I210" s="67"/>
      <c r="J210" s="67" t="s">
        <v>2898</v>
      </c>
    </row>
    <row r="211" spans="3:10">
      <c r="C211" s="66">
        <v>202</v>
      </c>
      <c r="D211" s="67" t="s">
        <v>2899</v>
      </c>
      <c r="E211" s="67" t="s">
        <v>2436</v>
      </c>
      <c r="F211" s="67" t="s">
        <v>25</v>
      </c>
      <c r="G211" s="67">
        <v>8068081313</v>
      </c>
      <c r="H211" s="67"/>
      <c r="I211" s="67"/>
      <c r="J211" s="67" t="s">
        <v>2898</v>
      </c>
    </row>
    <row r="212" spans="3:10">
      <c r="C212" s="66">
        <v>203</v>
      </c>
      <c r="D212" s="67" t="s">
        <v>2900</v>
      </c>
      <c r="E212" s="67" t="s">
        <v>2436</v>
      </c>
      <c r="F212" s="67" t="s">
        <v>1962</v>
      </c>
      <c r="G212" s="67">
        <v>8095317051</v>
      </c>
      <c r="H212" s="68" t="s">
        <v>2901</v>
      </c>
      <c r="I212" s="67"/>
      <c r="J212" s="67" t="s">
        <v>2902</v>
      </c>
    </row>
    <row r="213" spans="3:10">
      <c r="C213" s="66">
        <v>204</v>
      </c>
      <c r="D213" s="67" t="s">
        <v>2903</v>
      </c>
      <c r="E213" s="67" t="s">
        <v>2432</v>
      </c>
      <c r="F213" s="67" t="s">
        <v>207</v>
      </c>
      <c r="G213" s="67">
        <v>8167997025</v>
      </c>
      <c r="H213" s="68" t="s">
        <v>2904</v>
      </c>
      <c r="I213" s="67" t="s">
        <v>12</v>
      </c>
      <c r="J213" s="67" t="s">
        <v>2905</v>
      </c>
    </row>
    <row r="214" spans="3:10">
      <c r="C214" s="66">
        <v>205</v>
      </c>
      <c r="D214" s="67" t="s">
        <v>2906</v>
      </c>
      <c r="E214" s="67" t="s">
        <v>2463</v>
      </c>
      <c r="F214" s="67" t="s">
        <v>43</v>
      </c>
      <c r="G214" s="67">
        <v>8183048484</v>
      </c>
      <c r="H214" s="68" t="s">
        <v>2907</v>
      </c>
      <c r="I214" s="67"/>
      <c r="J214" s="67" t="s">
        <v>2908</v>
      </c>
    </row>
    <row r="215" spans="3:10">
      <c r="C215" s="66">
        <v>206</v>
      </c>
      <c r="D215" s="67" t="s">
        <v>2909</v>
      </c>
      <c r="E215" s="67" t="s">
        <v>2463</v>
      </c>
      <c r="F215" s="67" t="s">
        <v>77</v>
      </c>
      <c r="G215" s="67">
        <v>8139619664</v>
      </c>
      <c r="H215" s="67"/>
      <c r="I215" s="67"/>
      <c r="J215" s="67" t="s">
        <v>2910</v>
      </c>
    </row>
    <row r="216" spans="3:10">
      <c r="C216" s="66">
        <v>207</v>
      </c>
      <c r="D216" s="67" t="s">
        <v>2911</v>
      </c>
      <c r="E216" s="67" t="s">
        <v>2432</v>
      </c>
      <c r="F216" s="67" t="s">
        <v>38</v>
      </c>
      <c r="G216" s="67">
        <v>8062897222</v>
      </c>
      <c r="H216" s="67" t="s">
        <v>2912</v>
      </c>
      <c r="I216" s="67" t="s">
        <v>9</v>
      </c>
      <c r="J216" s="67" t="s">
        <v>2913</v>
      </c>
    </row>
    <row r="217" spans="3:10" ht="30">
      <c r="C217" s="66">
        <v>208</v>
      </c>
      <c r="D217" s="67" t="s">
        <v>2914</v>
      </c>
      <c r="E217" s="67" t="s">
        <v>2463</v>
      </c>
      <c r="F217" s="67" t="s">
        <v>77</v>
      </c>
      <c r="G217" s="67">
        <v>9034438582</v>
      </c>
      <c r="H217" s="68" t="s">
        <v>2915</v>
      </c>
      <c r="I217" s="67" t="s">
        <v>12</v>
      </c>
      <c r="J217" s="67" t="s">
        <v>2916</v>
      </c>
    </row>
    <row r="218" spans="3:10">
      <c r="C218" s="66">
        <v>209</v>
      </c>
      <c r="D218" s="67" t="s">
        <v>2917</v>
      </c>
      <c r="E218" s="67" t="s">
        <v>2432</v>
      </c>
      <c r="F218" s="67" t="s">
        <v>29</v>
      </c>
      <c r="G218" s="67">
        <v>7065177225</v>
      </c>
      <c r="H218" s="68" t="s">
        <v>2918</v>
      </c>
      <c r="I218" s="67" t="s">
        <v>9</v>
      </c>
      <c r="J218" s="67" t="s">
        <v>2919</v>
      </c>
    </row>
    <row r="219" spans="3:10">
      <c r="C219" s="66">
        <v>210</v>
      </c>
      <c r="D219" s="67" t="s">
        <v>2920</v>
      </c>
      <c r="E219" s="67" t="s">
        <v>2860</v>
      </c>
      <c r="F219" s="67" t="s">
        <v>144</v>
      </c>
      <c r="G219" s="67">
        <v>8167405294</v>
      </c>
      <c r="H219" s="68" t="s">
        <v>2921</v>
      </c>
      <c r="I219" s="67"/>
      <c r="J219" s="67" t="s">
        <v>2922</v>
      </c>
    </row>
    <row r="220" spans="3:10">
      <c r="C220" s="66">
        <v>211</v>
      </c>
      <c r="D220" s="67" t="s">
        <v>2923</v>
      </c>
      <c r="E220" s="67" t="s">
        <v>2432</v>
      </c>
      <c r="F220" s="67" t="s">
        <v>27</v>
      </c>
      <c r="G220" s="67">
        <v>7062328929</v>
      </c>
      <c r="H220" s="68" t="s">
        <v>2924</v>
      </c>
      <c r="I220" s="67"/>
      <c r="J220" s="67" t="s">
        <v>2925</v>
      </c>
    </row>
    <row r="221" spans="3:10">
      <c r="C221" s="66">
        <v>212</v>
      </c>
      <c r="D221" s="67" t="s">
        <v>2926</v>
      </c>
      <c r="E221" s="67" t="s">
        <v>2442</v>
      </c>
      <c r="F221" s="67" t="s">
        <v>31</v>
      </c>
      <c r="G221" s="67">
        <v>7064390598</v>
      </c>
      <c r="H221" s="68" t="s">
        <v>2927</v>
      </c>
      <c r="I221" s="67" t="s">
        <v>9</v>
      </c>
      <c r="J221" s="67" t="s">
        <v>2928</v>
      </c>
    </row>
    <row r="222" spans="3:10">
      <c r="C222" s="66">
        <v>203</v>
      </c>
      <c r="D222" s="67" t="s">
        <v>2929</v>
      </c>
      <c r="E222" s="67" t="s">
        <v>2459</v>
      </c>
      <c r="F222" s="67" t="s">
        <v>31</v>
      </c>
      <c r="G222" s="67">
        <v>8166617155</v>
      </c>
      <c r="H222" s="68" t="s">
        <v>2930</v>
      </c>
      <c r="I222" s="67"/>
      <c r="J222" s="67" t="s">
        <v>2928</v>
      </c>
    </row>
    <row r="223" spans="3:10">
      <c r="C223" s="66">
        <v>214</v>
      </c>
      <c r="D223" s="67" t="s">
        <v>2931</v>
      </c>
      <c r="E223" s="67" t="s">
        <v>2432</v>
      </c>
      <c r="F223" s="67" t="s">
        <v>16</v>
      </c>
      <c r="G223" s="67">
        <v>8076499607</v>
      </c>
      <c r="H223" s="68" t="s">
        <v>2932</v>
      </c>
      <c r="I223" s="67"/>
      <c r="J223" s="67" t="s">
        <v>2928</v>
      </c>
    </row>
    <row r="224" spans="3:10">
      <c r="C224" s="66">
        <v>215</v>
      </c>
      <c r="D224" s="67" t="s">
        <v>2933</v>
      </c>
      <c r="E224" s="67" t="s">
        <v>2432</v>
      </c>
      <c r="F224" s="67" t="s">
        <v>38</v>
      </c>
      <c r="G224" s="67">
        <v>8065703007</v>
      </c>
      <c r="H224" s="68" t="s">
        <v>2934</v>
      </c>
      <c r="I224" s="67" t="s">
        <v>12</v>
      </c>
      <c r="J224" s="67" t="s">
        <v>2935</v>
      </c>
    </row>
    <row r="225" spans="3:10">
      <c r="C225" s="66">
        <v>216</v>
      </c>
      <c r="D225" s="67" t="s">
        <v>2936</v>
      </c>
      <c r="E225" s="67" t="s">
        <v>2442</v>
      </c>
      <c r="F225" s="67" t="s">
        <v>62</v>
      </c>
      <c r="G225" s="67">
        <v>8165349401</v>
      </c>
      <c r="H225" s="68" t="s">
        <v>2937</v>
      </c>
      <c r="I225" s="67"/>
      <c r="J225" s="67" t="s">
        <v>2938</v>
      </c>
    </row>
    <row r="226" spans="3:10" ht="30">
      <c r="C226" s="66">
        <v>217</v>
      </c>
      <c r="D226" s="67" t="s">
        <v>2939</v>
      </c>
      <c r="E226" s="67" t="s">
        <v>2436</v>
      </c>
      <c r="F226" s="67" t="s">
        <v>49</v>
      </c>
      <c r="G226" s="67">
        <v>9030985746</v>
      </c>
      <c r="H226" s="68" t="s">
        <v>2940</v>
      </c>
      <c r="I226" s="67" t="s">
        <v>12</v>
      </c>
      <c r="J226" s="67" t="s">
        <v>2938</v>
      </c>
    </row>
    <row r="227" spans="3:10">
      <c r="C227" s="66">
        <v>218</v>
      </c>
      <c r="D227" s="67" t="s">
        <v>2941</v>
      </c>
      <c r="E227" s="67" t="s">
        <v>2436</v>
      </c>
      <c r="F227" s="67" t="s">
        <v>25</v>
      </c>
      <c r="G227" s="67">
        <v>8189348692</v>
      </c>
      <c r="H227" s="67"/>
      <c r="I227" s="67"/>
      <c r="J227" s="67" t="s">
        <v>2938</v>
      </c>
    </row>
    <row r="228" spans="3:10">
      <c r="C228" s="66">
        <v>219</v>
      </c>
      <c r="D228" s="67" t="s">
        <v>2942</v>
      </c>
      <c r="E228" s="67" t="s">
        <v>2445</v>
      </c>
      <c r="F228" s="67" t="s">
        <v>144</v>
      </c>
      <c r="G228" s="67">
        <v>7062598295</v>
      </c>
      <c r="H228" s="67"/>
      <c r="I228" s="67"/>
      <c r="J228" s="67" t="s">
        <v>2943</v>
      </c>
    </row>
    <row r="229" spans="3:10">
      <c r="C229" s="66">
        <v>220</v>
      </c>
      <c r="D229" s="67" t="s">
        <v>2944</v>
      </c>
      <c r="E229" s="67" t="s">
        <v>2442</v>
      </c>
      <c r="F229" s="67" t="s">
        <v>14</v>
      </c>
      <c r="G229" s="67">
        <v>8101079657</v>
      </c>
      <c r="H229" s="67" t="s">
        <v>2945</v>
      </c>
      <c r="I229" s="67"/>
      <c r="J229" s="67" t="s">
        <v>2946</v>
      </c>
    </row>
    <row r="230" spans="3:10">
      <c r="C230" s="66">
        <v>221</v>
      </c>
      <c r="D230" s="67" t="s">
        <v>2947</v>
      </c>
      <c r="E230" s="67" t="s">
        <v>2432</v>
      </c>
      <c r="F230" s="67" t="s">
        <v>57</v>
      </c>
      <c r="G230" s="67">
        <v>8111786976</v>
      </c>
      <c r="H230" s="68" t="s">
        <v>2948</v>
      </c>
      <c r="I230" s="67"/>
      <c r="J230" s="67" t="s">
        <v>2949</v>
      </c>
    </row>
    <row r="231" spans="3:10">
      <c r="C231" s="66">
        <v>222</v>
      </c>
      <c r="D231" s="67"/>
      <c r="E231" s="67"/>
      <c r="F231" s="67"/>
      <c r="G231" s="67"/>
      <c r="H231" s="67"/>
      <c r="I231" s="67"/>
      <c r="J231" s="67"/>
    </row>
    <row r="232" spans="3:10">
      <c r="C232" s="66">
        <v>223</v>
      </c>
      <c r="D232" s="67" t="s">
        <v>2950</v>
      </c>
      <c r="E232" s="67" t="s">
        <v>2432</v>
      </c>
      <c r="F232" s="67" t="s">
        <v>207</v>
      </c>
      <c r="G232" s="67">
        <v>7063872166</v>
      </c>
      <c r="H232" s="67" t="s">
        <v>2951</v>
      </c>
      <c r="I232" s="67"/>
      <c r="J232" s="67" t="s">
        <v>2952</v>
      </c>
    </row>
    <row r="233" spans="3:10">
      <c r="C233" s="66">
        <v>224</v>
      </c>
      <c r="D233" s="67" t="s">
        <v>2953</v>
      </c>
      <c r="E233" s="67" t="s">
        <v>2445</v>
      </c>
      <c r="F233" s="67" t="s">
        <v>71</v>
      </c>
      <c r="G233" s="67">
        <v>8033487856</v>
      </c>
      <c r="H233" s="68" t="s">
        <v>2954</v>
      </c>
      <c r="I233" s="67" t="s">
        <v>12</v>
      </c>
      <c r="J233" s="67" t="s">
        <v>2955</v>
      </c>
    </row>
    <row r="234" spans="3:10">
      <c r="C234" s="66">
        <v>225</v>
      </c>
      <c r="D234" s="67" t="s">
        <v>2956</v>
      </c>
      <c r="E234" s="67" t="s">
        <v>2463</v>
      </c>
      <c r="F234" s="67" t="s">
        <v>43</v>
      </c>
      <c r="G234" s="67">
        <v>8062888230</v>
      </c>
      <c r="H234" s="67"/>
      <c r="I234" s="67"/>
      <c r="J234" s="67" t="s">
        <v>2957</v>
      </c>
    </row>
    <row r="235" spans="3:10" ht="30">
      <c r="C235" s="66">
        <v>226</v>
      </c>
      <c r="D235" s="67" t="s">
        <v>2958</v>
      </c>
      <c r="E235" s="67" t="s">
        <v>2432</v>
      </c>
      <c r="F235" s="67" t="s">
        <v>38</v>
      </c>
      <c r="G235" s="67">
        <v>8188641263</v>
      </c>
      <c r="H235" s="68" t="s">
        <v>2959</v>
      </c>
      <c r="I235" s="67"/>
      <c r="J235" s="67" t="s">
        <v>2957</v>
      </c>
    </row>
    <row r="236" spans="3:10">
      <c r="C236" s="66">
        <v>227</v>
      </c>
      <c r="D236" s="67" t="s">
        <v>2960</v>
      </c>
      <c r="E236" s="67" t="s">
        <v>2432</v>
      </c>
      <c r="F236" s="67" t="s">
        <v>16</v>
      </c>
      <c r="G236" s="67">
        <v>8133661991</v>
      </c>
      <c r="H236" s="67" t="s">
        <v>2961</v>
      </c>
      <c r="I236" s="67" t="s">
        <v>9</v>
      </c>
      <c r="J236" s="67" t="s">
        <v>2957</v>
      </c>
    </row>
    <row r="237" spans="3:10">
      <c r="C237" s="66">
        <v>228</v>
      </c>
      <c r="D237" s="67" t="s">
        <v>2962</v>
      </c>
      <c r="E237" s="67" t="s">
        <v>2463</v>
      </c>
      <c r="F237" s="67" t="s">
        <v>77</v>
      </c>
      <c r="G237" s="67">
        <v>8031186934</v>
      </c>
      <c r="H237" s="68" t="s">
        <v>2963</v>
      </c>
      <c r="I237" s="67" t="s">
        <v>12</v>
      </c>
      <c r="J237" s="67" t="s">
        <v>2964</v>
      </c>
    </row>
    <row r="238" spans="3:10">
      <c r="C238" s="66">
        <v>229</v>
      </c>
      <c r="D238" s="67" t="s">
        <v>2965</v>
      </c>
      <c r="E238" s="67" t="s">
        <v>2432</v>
      </c>
      <c r="F238" s="67" t="s">
        <v>10</v>
      </c>
      <c r="G238" s="67">
        <v>8169344883</v>
      </c>
      <c r="H238" s="68" t="s">
        <v>2966</v>
      </c>
      <c r="I238" s="67" t="s">
        <v>12</v>
      </c>
      <c r="J238" s="67" t="s">
        <v>2967</v>
      </c>
    </row>
    <row r="239" spans="3:10">
      <c r="C239" s="66">
        <v>230</v>
      </c>
      <c r="D239" s="67" t="s">
        <v>2968</v>
      </c>
      <c r="E239" s="67" t="s">
        <v>2436</v>
      </c>
      <c r="F239" s="67" t="s">
        <v>96</v>
      </c>
      <c r="G239" s="67">
        <v>8127626604</v>
      </c>
      <c r="H239" s="67"/>
      <c r="I239" s="67"/>
      <c r="J239" s="67" t="s">
        <v>2969</v>
      </c>
    </row>
    <row r="240" spans="3:10">
      <c r="C240" s="66">
        <v>231</v>
      </c>
      <c r="D240" s="67" t="s">
        <v>2970</v>
      </c>
      <c r="E240" s="67" t="s">
        <v>2436</v>
      </c>
      <c r="F240" s="67" t="s">
        <v>132</v>
      </c>
      <c r="G240" s="67">
        <v>8131812707</v>
      </c>
      <c r="H240" s="68" t="s">
        <v>2971</v>
      </c>
      <c r="I240" s="67" t="s">
        <v>12</v>
      </c>
      <c r="J240" s="67" t="s">
        <v>2972</v>
      </c>
    </row>
    <row r="241" spans="3:10">
      <c r="C241" s="66">
        <v>232</v>
      </c>
      <c r="D241" s="67" t="s">
        <v>2973</v>
      </c>
      <c r="E241" s="67" t="s">
        <v>2463</v>
      </c>
      <c r="F241" s="67" t="s">
        <v>77</v>
      </c>
      <c r="G241" s="67">
        <v>8168566711</v>
      </c>
      <c r="H241" s="68" t="s">
        <v>2974</v>
      </c>
      <c r="I241" s="67" t="s">
        <v>12</v>
      </c>
      <c r="J241" s="67" t="s">
        <v>2972</v>
      </c>
    </row>
    <row r="242" spans="3:10">
      <c r="C242" s="66">
        <v>233</v>
      </c>
      <c r="D242" s="67" t="s">
        <v>2975</v>
      </c>
      <c r="E242" s="67" t="s">
        <v>2432</v>
      </c>
      <c r="F242" s="67" t="s">
        <v>118</v>
      </c>
      <c r="G242" s="67">
        <v>8166722949</v>
      </c>
      <c r="H242" s="67"/>
      <c r="I242" s="67"/>
      <c r="J242" s="67" t="s">
        <v>2976</v>
      </c>
    </row>
    <row r="243" spans="3:10">
      <c r="C243" s="66">
        <v>234</v>
      </c>
      <c r="D243" s="67" t="s">
        <v>2977</v>
      </c>
      <c r="E243" s="67" t="s">
        <v>2463</v>
      </c>
      <c r="F243" s="67" t="s">
        <v>43</v>
      </c>
      <c r="G243" s="67">
        <v>7034072256</v>
      </c>
      <c r="H243" s="68" t="s">
        <v>2978</v>
      </c>
      <c r="I243" s="67" t="s">
        <v>9</v>
      </c>
      <c r="J243" s="67" t="s">
        <v>2976</v>
      </c>
    </row>
    <row r="244" spans="3:10">
      <c r="C244" s="66">
        <v>235</v>
      </c>
      <c r="D244" s="67" t="s">
        <v>2979</v>
      </c>
      <c r="E244" s="67" t="s">
        <v>2432</v>
      </c>
      <c r="F244" s="67" t="s">
        <v>33</v>
      </c>
      <c r="G244" s="67">
        <v>8169153372</v>
      </c>
      <c r="H244" s="68" t="s">
        <v>2980</v>
      </c>
      <c r="I244" s="67" t="s">
        <v>9</v>
      </c>
      <c r="J244" s="67" t="s">
        <v>2976</v>
      </c>
    </row>
    <row r="245" spans="3:10">
      <c r="C245" s="66">
        <v>236</v>
      </c>
      <c r="D245" s="67" t="s">
        <v>2981</v>
      </c>
      <c r="E245" s="67" t="s">
        <v>2463</v>
      </c>
      <c r="F245" s="67" t="s">
        <v>43</v>
      </c>
      <c r="G245" s="67">
        <v>8136121401</v>
      </c>
      <c r="H245" s="68" t="s">
        <v>2982</v>
      </c>
      <c r="I245" s="67" t="s">
        <v>9</v>
      </c>
      <c r="J245" s="67" t="s">
        <v>2983</v>
      </c>
    </row>
    <row r="246" spans="3:10">
      <c r="C246" s="66">
        <v>237</v>
      </c>
      <c r="D246" s="67" t="s">
        <v>2984</v>
      </c>
      <c r="E246" s="67" t="s">
        <v>2432</v>
      </c>
      <c r="F246" s="67" t="s">
        <v>29</v>
      </c>
      <c r="G246" s="67">
        <v>7069248190</v>
      </c>
      <c r="H246" s="67"/>
      <c r="I246" s="67"/>
      <c r="J246" s="67" t="s">
        <v>2983</v>
      </c>
    </row>
    <row r="247" spans="3:10">
      <c r="C247" s="66">
        <v>238</v>
      </c>
      <c r="D247" s="67" t="s">
        <v>2985</v>
      </c>
      <c r="E247" s="67" t="s">
        <v>2442</v>
      </c>
      <c r="F247" s="67" t="s">
        <v>14</v>
      </c>
      <c r="G247" s="67">
        <v>8139459145</v>
      </c>
      <c r="H247" s="67"/>
      <c r="I247" s="67"/>
      <c r="J247" s="67" t="s">
        <v>2983</v>
      </c>
    </row>
    <row r="248" spans="3:10">
      <c r="C248" s="66">
        <v>239</v>
      </c>
      <c r="D248" s="67" t="s">
        <v>2986</v>
      </c>
      <c r="E248" s="67" t="s">
        <v>2432</v>
      </c>
      <c r="F248" s="67" t="s">
        <v>29</v>
      </c>
      <c r="G248" s="67">
        <v>7065174225</v>
      </c>
      <c r="H248" s="67"/>
      <c r="I248" s="67"/>
      <c r="J248" s="67" t="s">
        <v>2987</v>
      </c>
    </row>
    <row r="249" spans="3:10">
      <c r="C249" s="66">
        <v>240</v>
      </c>
      <c r="D249" s="67" t="s">
        <v>2988</v>
      </c>
      <c r="E249" s="67" t="s">
        <v>2432</v>
      </c>
      <c r="F249" s="67" t="s">
        <v>207</v>
      </c>
      <c r="G249" s="67">
        <v>7069697442</v>
      </c>
      <c r="H249" s="68" t="s">
        <v>2989</v>
      </c>
      <c r="I249" s="67"/>
      <c r="J249" s="67" t="s">
        <v>2990</v>
      </c>
    </row>
    <row r="250" spans="3:10">
      <c r="C250" s="66">
        <v>241</v>
      </c>
      <c r="D250" s="67" t="s">
        <v>2991</v>
      </c>
      <c r="E250" s="67" t="s">
        <v>2445</v>
      </c>
      <c r="F250" s="67" t="s">
        <v>19</v>
      </c>
      <c r="G250" s="67">
        <v>8161874828</v>
      </c>
      <c r="H250" s="67"/>
      <c r="I250" s="67"/>
      <c r="J250" s="67" t="s">
        <v>2992</v>
      </c>
    </row>
    <row r="251" spans="3:10">
      <c r="C251" s="66">
        <v>242</v>
      </c>
      <c r="D251" s="67" t="s">
        <v>2993</v>
      </c>
      <c r="E251" s="67" t="s">
        <v>2432</v>
      </c>
      <c r="F251" s="67" t="s">
        <v>207</v>
      </c>
      <c r="G251" s="67">
        <v>8132808685</v>
      </c>
      <c r="H251" s="68" t="s">
        <v>2994</v>
      </c>
      <c r="I251" s="67"/>
      <c r="J251" s="67" t="s">
        <v>2992</v>
      </c>
    </row>
    <row r="252" spans="3:10" ht="30">
      <c r="C252" s="66">
        <v>243</v>
      </c>
      <c r="D252" s="67" t="s">
        <v>2995</v>
      </c>
      <c r="E252" s="67" t="s">
        <v>2432</v>
      </c>
      <c r="F252" s="67" t="s">
        <v>118</v>
      </c>
      <c r="G252" s="67">
        <v>7065256580</v>
      </c>
      <c r="H252" s="68" t="s">
        <v>2996</v>
      </c>
      <c r="I252" s="67"/>
      <c r="J252" s="67" t="s">
        <v>2997</v>
      </c>
    </row>
    <row r="253" spans="3:10">
      <c r="C253" s="66">
        <v>244</v>
      </c>
      <c r="D253" s="67" t="s">
        <v>2998</v>
      </c>
      <c r="E253" s="67" t="s">
        <v>2445</v>
      </c>
      <c r="F253" s="67" t="s">
        <v>2999</v>
      </c>
      <c r="G253" s="67">
        <v>7066736598</v>
      </c>
      <c r="H253" s="68" t="s">
        <v>3000</v>
      </c>
      <c r="I253" s="67"/>
      <c r="J253" s="67" t="s">
        <v>3001</v>
      </c>
    </row>
    <row r="254" spans="3:10">
      <c r="C254" s="66">
        <v>245</v>
      </c>
      <c r="D254" s="67" t="s">
        <v>3002</v>
      </c>
      <c r="E254" s="67" t="s">
        <v>2436</v>
      </c>
      <c r="F254" s="67" t="s">
        <v>218</v>
      </c>
      <c r="G254" s="67">
        <v>7035644633</v>
      </c>
      <c r="H254" s="68" t="s">
        <v>3003</v>
      </c>
      <c r="I254" s="67" t="s">
        <v>9</v>
      </c>
      <c r="J254" s="67" t="s">
        <v>3004</v>
      </c>
    </row>
    <row r="255" spans="3:10">
      <c r="C255" s="66">
        <v>246</v>
      </c>
      <c r="D255" s="67" t="s">
        <v>3005</v>
      </c>
      <c r="E255" s="67" t="s">
        <v>2459</v>
      </c>
      <c r="F255" s="67" t="s">
        <v>14</v>
      </c>
      <c r="G255" s="67">
        <v>7039139808</v>
      </c>
      <c r="H255" s="68" t="s">
        <v>3006</v>
      </c>
      <c r="I255" s="67"/>
      <c r="J255" s="67" t="s">
        <v>3004</v>
      </c>
    </row>
    <row r="256" spans="3:10">
      <c r="C256" s="66">
        <v>247</v>
      </c>
      <c r="D256" s="67" t="s">
        <v>3007</v>
      </c>
      <c r="E256" s="67" t="s">
        <v>2432</v>
      </c>
      <c r="F256" s="67" t="s">
        <v>118</v>
      </c>
      <c r="G256" s="67">
        <v>8101075333</v>
      </c>
      <c r="H256" s="68" t="s">
        <v>3008</v>
      </c>
      <c r="I256" s="67"/>
      <c r="J256" s="67" t="s">
        <v>3009</v>
      </c>
    </row>
    <row r="257" spans="3:10">
      <c r="C257" s="66">
        <v>248</v>
      </c>
      <c r="D257" s="67" t="s">
        <v>3010</v>
      </c>
      <c r="E257" s="67" t="s">
        <v>2445</v>
      </c>
      <c r="F257" s="67" t="s">
        <v>19</v>
      </c>
      <c r="G257" s="67">
        <v>8050383611</v>
      </c>
      <c r="H257" s="67" t="s">
        <v>3011</v>
      </c>
      <c r="I257" s="67" t="s">
        <v>12</v>
      </c>
      <c r="J257" s="67" t="s">
        <v>3012</v>
      </c>
    </row>
    <row r="258" spans="3:10">
      <c r="C258" s="66">
        <v>249</v>
      </c>
      <c r="D258" s="67" t="s">
        <v>3013</v>
      </c>
      <c r="E258" s="67" t="s">
        <v>2432</v>
      </c>
      <c r="F258" s="67" t="s">
        <v>10</v>
      </c>
      <c r="G258" s="67">
        <v>8130809883</v>
      </c>
      <c r="H258" s="67" t="s">
        <v>3014</v>
      </c>
      <c r="I258" s="67" t="s">
        <v>12</v>
      </c>
      <c r="J258" s="67" t="s">
        <v>3012</v>
      </c>
    </row>
    <row r="259" spans="3:10">
      <c r="C259" s="66">
        <v>250</v>
      </c>
      <c r="D259" s="67"/>
      <c r="E259" s="67"/>
      <c r="F259" s="67"/>
      <c r="G259" s="67"/>
      <c r="H259" s="67"/>
      <c r="I259" s="67"/>
      <c r="J259" s="67"/>
    </row>
    <row r="260" spans="3:10">
      <c r="C260" s="66">
        <v>251</v>
      </c>
      <c r="D260" s="67" t="s">
        <v>3015</v>
      </c>
      <c r="E260" s="67" t="s">
        <v>2432</v>
      </c>
      <c r="F260" s="67" t="s">
        <v>16</v>
      </c>
      <c r="G260" s="67">
        <v>8062521771</v>
      </c>
      <c r="H260" s="68" t="s">
        <v>3016</v>
      </c>
      <c r="I260" s="67" t="s">
        <v>9</v>
      </c>
      <c r="J260" s="67" t="s">
        <v>3017</v>
      </c>
    </row>
    <row r="261" spans="3:10">
      <c r="C261" s="66">
        <v>252</v>
      </c>
      <c r="D261" s="67" t="s">
        <v>3018</v>
      </c>
      <c r="E261" s="67" t="s">
        <v>2432</v>
      </c>
      <c r="F261" s="67" t="s">
        <v>10</v>
      </c>
      <c r="G261" s="67">
        <v>8130700540</v>
      </c>
      <c r="H261" s="67"/>
      <c r="I261" s="67"/>
      <c r="J261" s="67" t="s">
        <v>3019</v>
      </c>
    </row>
    <row r="262" spans="3:10">
      <c r="C262" s="66">
        <v>253</v>
      </c>
      <c r="D262" s="67" t="s">
        <v>3020</v>
      </c>
      <c r="E262" s="67" t="s">
        <v>2442</v>
      </c>
      <c r="F262" s="67" t="s">
        <v>14</v>
      </c>
      <c r="G262" s="67">
        <v>8188233946</v>
      </c>
      <c r="H262" s="68" t="s">
        <v>3021</v>
      </c>
      <c r="I262" s="67" t="s">
        <v>12</v>
      </c>
      <c r="J262" s="67" t="s">
        <v>3022</v>
      </c>
    </row>
    <row r="263" spans="3:10">
      <c r="C263" s="66">
        <v>254</v>
      </c>
      <c r="D263" s="67" t="s">
        <v>3023</v>
      </c>
      <c r="E263" s="67" t="s">
        <v>2432</v>
      </c>
      <c r="F263" s="67" t="s">
        <v>33</v>
      </c>
      <c r="G263" s="67">
        <v>7067433046</v>
      </c>
      <c r="H263" s="67"/>
      <c r="I263" s="67"/>
      <c r="J263" s="67" t="s">
        <v>3024</v>
      </c>
    </row>
    <row r="264" spans="3:10">
      <c r="C264" s="66">
        <v>255</v>
      </c>
      <c r="D264" s="67" t="s">
        <v>3025</v>
      </c>
      <c r="E264" s="67" t="s">
        <v>2463</v>
      </c>
      <c r="F264" s="67" t="s">
        <v>43</v>
      </c>
      <c r="G264" s="67">
        <v>9039572491</v>
      </c>
      <c r="H264" s="68" t="s">
        <v>3026</v>
      </c>
      <c r="I264" s="67" t="s">
        <v>12</v>
      </c>
      <c r="J264" s="67" t="s">
        <v>3027</v>
      </c>
    </row>
    <row r="265" spans="3:10">
      <c r="C265" s="66">
        <v>256</v>
      </c>
      <c r="D265" s="67" t="s">
        <v>3028</v>
      </c>
      <c r="E265" s="67" t="s">
        <v>2436</v>
      </c>
      <c r="F265" s="67" t="s">
        <v>138</v>
      </c>
      <c r="G265" s="67">
        <v>7038604105</v>
      </c>
      <c r="H265" s="68" t="s">
        <v>3029</v>
      </c>
      <c r="I265" s="67" t="s">
        <v>9</v>
      </c>
      <c r="J265" s="67" t="s">
        <v>3027</v>
      </c>
    </row>
    <row r="266" spans="3:10">
      <c r="C266" s="66">
        <v>257</v>
      </c>
      <c r="D266" s="67" t="s">
        <v>3030</v>
      </c>
      <c r="E266" s="67" t="s">
        <v>2432</v>
      </c>
      <c r="F266" s="67" t="s">
        <v>33</v>
      </c>
      <c r="G266" s="67">
        <v>7069732071</v>
      </c>
      <c r="H266" s="68" t="s">
        <v>3031</v>
      </c>
      <c r="I266" s="67" t="s">
        <v>9</v>
      </c>
      <c r="J266" s="67" t="s">
        <v>3032</v>
      </c>
    </row>
    <row r="267" spans="3:10">
      <c r="C267" s="66">
        <v>258</v>
      </c>
      <c r="D267" s="67" t="s">
        <v>3033</v>
      </c>
      <c r="E267" s="67" t="s">
        <v>2463</v>
      </c>
      <c r="F267" s="67" t="s">
        <v>43</v>
      </c>
      <c r="G267" s="67">
        <v>8034105165</v>
      </c>
      <c r="H267" s="68" t="s">
        <v>3034</v>
      </c>
      <c r="I267" s="67" t="s">
        <v>12</v>
      </c>
      <c r="J267" s="67" t="s">
        <v>3035</v>
      </c>
    </row>
    <row r="268" spans="3:10">
      <c r="C268" s="66">
        <v>259</v>
      </c>
      <c r="D268" s="67" t="s">
        <v>3036</v>
      </c>
      <c r="E268" s="67" t="s">
        <v>2463</v>
      </c>
      <c r="F268" s="67" t="s">
        <v>2768</v>
      </c>
      <c r="G268" s="67">
        <v>8109791041</v>
      </c>
      <c r="H268" s="67" t="s">
        <v>3037</v>
      </c>
      <c r="I268" s="67" t="s">
        <v>12</v>
      </c>
      <c r="J268" s="67" t="s">
        <v>3038</v>
      </c>
    </row>
    <row r="269" spans="3:10">
      <c r="C269" s="66">
        <v>260</v>
      </c>
      <c r="D269" s="67" t="s">
        <v>3039</v>
      </c>
      <c r="E269" s="67" t="s">
        <v>2429</v>
      </c>
      <c r="F269" s="67" t="s">
        <v>162</v>
      </c>
      <c r="G269" s="67">
        <v>8065957752</v>
      </c>
      <c r="H269" s="67"/>
      <c r="I269" s="67"/>
      <c r="J269" s="67" t="s">
        <v>3040</v>
      </c>
    </row>
    <row r="270" spans="3:10">
      <c r="C270" s="66">
        <v>261</v>
      </c>
      <c r="D270" s="67" t="s">
        <v>3041</v>
      </c>
      <c r="E270" s="67" t="s">
        <v>2432</v>
      </c>
      <c r="F270" s="67" t="s">
        <v>16</v>
      </c>
      <c r="G270" s="67">
        <v>8164635963</v>
      </c>
      <c r="H270" s="68" t="s">
        <v>3042</v>
      </c>
      <c r="I270" s="67" t="s">
        <v>12</v>
      </c>
      <c r="J270" s="67" t="s">
        <v>3040</v>
      </c>
    </row>
    <row r="271" spans="3:10">
      <c r="C271" s="66">
        <v>262</v>
      </c>
      <c r="D271" s="67" t="s">
        <v>3043</v>
      </c>
      <c r="E271" s="67" t="s">
        <v>2436</v>
      </c>
      <c r="F271" s="67" t="s">
        <v>1962</v>
      </c>
      <c r="G271" s="67">
        <v>8100001064</v>
      </c>
      <c r="H271" s="68" t="s">
        <v>3044</v>
      </c>
      <c r="I271" s="67"/>
      <c r="J271" s="67" t="s">
        <v>3045</v>
      </c>
    </row>
    <row r="272" spans="3:10">
      <c r="C272" s="66">
        <v>263</v>
      </c>
      <c r="D272" s="67" t="s">
        <v>3046</v>
      </c>
      <c r="E272" s="67" t="s">
        <v>2429</v>
      </c>
      <c r="F272" s="67" t="s">
        <v>57</v>
      </c>
      <c r="G272" s="67">
        <v>8100075253</v>
      </c>
      <c r="H272" s="68" t="s">
        <v>3047</v>
      </c>
      <c r="I272" s="67"/>
      <c r="J272" s="67" t="s">
        <v>3048</v>
      </c>
    </row>
    <row r="273" spans="3:10">
      <c r="C273" s="66">
        <v>264</v>
      </c>
      <c r="D273" s="67" t="s">
        <v>3049</v>
      </c>
      <c r="E273" s="67" t="s">
        <v>2463</v>
      </c>
      <c r="F273" s="67" t="s">
        <v>53</v>
      </c>
      <c r="G273" s="67">
        <v>8026067235</v>
      </c>
      <c r="H273" s="68" t="s">
        <v>3050</v>
      </c>
      <c r="I273" s="67"/>
      <c r="J273" s="67" t="s">
        <v>3051</v>
      </c>
    </row>
    <row r="274" spans="3:10">
      <c r="C274" s="66">
        <v>265</v>
      </c>
      <c r="D274" s="67" t="s">
        <v>3052</v>
      </c>
      <c r="E274" s="67" t="s">
        <v>2432</v>
      </c>
      <c r="F274" s="67" t="s">
        <v>16</v>
      </c>
      <c r="G274" s="67">
        <v>8164635963</v>
      </c>
      <c r="H274" s="68" t="s">
        <v>3053</v>
      </c>
      <c r="I274" s="67"/>
      <c r="J274" s="67" t="s">
        <v>3040</v>
      </c>
    </row>
    <row r="275" spans="3:10">
      <c r="C275" s="66">
        <v>266</v>
      </c>
      <c r="D275" s="67" t="s">
        <v>3054</v>
      </c>
      <c r="E275" s="67" t="s">
        <v>2432</v>
      </c>
      <c r="F275" s="67" t="s">
        <v>33</v>
      </c>
      <c r="G275" s="67">
        <v>8178146047</v>
      </c>
      <c r="H275" s="68" t="s">
        <v>3055</v>
      </c>
      <c r="I275" s="67" t="s">
        <v>12</v>
      </c>
      <c r="J275" s="67" t="s">
        <v>3056</v>
      </c>
    </row>
    <row r="276" spans="3:10">
      <c r="C276" s="66">
        <v>267</v>
      </c>
      <c r="D276" s="67"/>
      <c r="E276" s="67"/>
      <c r="F276" s="67"/>
      <c r="G276" s="67"/>
      <c r="H276" s="67"/>
      <c r="I276" s="67"/>
      <c r="J276" s="67"/>
    </row>
    <row r="277" spans="3:10" ht="30">
      <c r="C277" s="66">
        <v>268</v>
      </c>
      <c r="D277" s="67" t="s">
        <v>3057</v>
      </c>
      <c r="E277" s="67" t="s">
        <v>2445</v>
      </c>
      <c r="F277" s="67" t="s">
        <v>45</v>
      </c>
      <c r="G277" s="67">
        <v>7065179782</v>
      </c>
      <c r="H277" s="68" t="s">
        <v>3058</v>
      </c>
      <c r="I277" s="67" t="s">
        <v>12</v>
      </c>
      <c r="J277" s="67" t="s">
        <v>3059</v>
      </c>
    </row>
    <row r="278" spans="3:10">
      <c r="C278" s="66">
        <v>269</v>
      </c>
      <c r="D278" s="67" t="s">
        <v>3060</v>
      </c>
      <c r="E278" s="67" t="s">
        <v>2432</v>
      </c>
      <c r="F278" s="67" t="s">
        <v>38</v>
      </c>
      <c r="G278" s="67">
        <v>8030422426</v>
      </c>
      <c r="H278" s="68" t="s">
        <v>3061</v>
      </c>
      <c r="I278" s="67"/>
      <c r="J278" s="67" t="s">
        <v>3062</v>
      </c>
    </row>
    <row r="279" spans="3:10">
      <c r="C279" s="66">
        <v>270</v>
      </c>
      <c r="D279" s="67" t="s">
        <v>3063</v>
      </c>
      <c r="E279" s="67" t="s">
        <v>2436</v>
      </c>
      <c r="F279" s="67" t="s">
        <v>138</v>
      </c>
      <c r="G279" s="67">
        <v>7037967499</v>
      </c>
      <c r="H279" s="68" t="s">
        <v>3064</v>
      </c>
      <c r="I279" s="67"/>
      <c r="J279" s="67" t="s">
        <v>3065</v>
      </c>
    </row>
    <row r="280" spans="3:10">
      <c r="C280" s="66">
        <v>271</v>
      </c>
      <c r="D280" s="67" t="s">
        <v>3066</v>
      </c>
      <c r="E280" s="67" t="s">
        <v>2442</v>
      </c>
      <c r="F280" s="67" t="s">
        <v>62</v>
      </c>
      <c r="G280" s="67">
        <v>8147120929</v>
      </c>
      <c r="H280" s="68" t="s">
        <v>3067</v>
      </c>
      <c r="I280" s="67" t="s">
        <v>9</v>
      </c>
      <c r="J280" s="67" t="s">
        <v>3068</v>
      </c>
    </row>
    <row r="281" spans="3:10">
      <c r="C281" s="66">
        <v>272</v>
      </c>
      <c r="D281" s="67" t="s">
        <v>3069</v>
      </c>
      <c r="E281" s="67" t="s">
        <v>2432</v>
      </c>
      <c r="F281" s="67" t="s">
        <v>118</v>
      </c>
      <c r="G281" s="67">
        <v>8134669711</v>
      </c>
      <c r="H281" s="68" t="s">
        <v>3070</v>
      </c>
      <c r="I281" s="67"/>
      <c r="J281" s="67" t="s">
        <v>3068</v>
      </c>
    </row>
    <row r="282" spans="3:10">
      <c r="C282" s="66">
        <v>273</v>
      </c>
      <c r="D282" s="67" t="s">
        <v>3071</v>
      </c>
      <c r="E282" s="67" t="s">
        <v>2442</v>
      </c>
      <c r="F282" s="67" t="s">
        <v>31</v>
      </c>
      <c r="G282" s="67">
        <v>8101651717</v>
      </c>
      <c r="H282" s="68" t="s">
        <v>3072</v>
      </c>
      <c r="I282" s="67" t="s">
        <v>12</v>
      </c>
      <c r="J282" s="67" t="s">
        <v>3073</v>
      </c>
    </row>
    <row r="283" spans="3:10">
      <c r="C283" s="66">
        <v>274</v>
      </c>
      <c r="D283" s="67" t="s">
        <v>3074</v>
      </c>
      <c r="E283" s="67" t="s">
        <v>2436</v>
      </c>
      <c r="F283" s="67" t="s">
        <v>96</v>
      </c>
      <c r="G283" s="67">
        <v>8162017900</v>
      </c>
      <c r="H283" s="68" t="s">
        <v>3075</v>
      </c>
      <c r="I283" s="67"/>
      <c r="J283" s="67" t="s">
        <v>3076</v>
      </c>
    </row>
    <row r="284" spans="3:10">
      <c r="C284" s="66">
        <v>275</v>
      </c>
      <c r="D284" s="67" t="s">
        <v>3077</v>
      </c>
      <c r="E284" s="67" t="s">
        <v>2436</v>
      </c>
      <c r="F284" s="67" t="s">
        <v>49</v>
      </c>
      <c r="G284" s="67">
        <v>8168678954</v>
      </c>
      <c r="H284" s="68" t="s">
        <v>3078</v>
      </c>
      <c r="I284" s="67"/>
      <c r="J284" s="67" t="s">
        <v>3076</v>
      </c>
    </row>
    <row r="285" spans="3:10">
      <c r="C285" s="66">
        <v>276</v>
      </c>
      <c r="D285" s="67" t="s">
        <v>3079</v>
      </c>
      <c r="E285" s="67" t="s">
        <v>2432</v>
      </c>
      <c r="F285" s="67" t="s">
        <v>10</v>
      </c>
      <c r="G285" s="67">
        <v>7038305040</v>
      </c>
      <c r="H285" s="68" t="s">
        <v>3080</v>
      </c>
      <c r="I285" s="67" t="s">
        <v>9</v>
      </c>
      <c r="J285" s="67" t="s">
        <v>3081</v>
      </c>
    </row>
    <row r="286" spans="3:10">
      <c r="C286" s="66">
        <v>277</v>
      </c>
      <c r="D286" s="67" t="s">
        <v>3082</v>
      </c>
      <c r="E286" s="67" t="s">
        <v>2432</v>
      </c>
      <c r="F286" s="67" t="s">
        <v>33</v>
      </c>
      <c r="G286" s="67">
        <v>8081811957</v>
      </c>
      <c r="H286" s="67"/>
      <c r="I286" s="67"/>
      <c r="J286" s="67" t="s">
        <v>3083</v>
      </c>
    </row>
    <row r="287" spans="3:10" ht="30">
      <c r="C287" s="66">
        <v>278</v>
      </c>
      <c r="D287" s="67" t="s">
        <v>3084</v>
      </c>
      <c r="E287" s="67" t="s">
        <v>2445</v>
      </c>
      <c r="F287" s="67" t="s">
        <v>19</v>
      </c>
      <c r="G287" s="67">
        <v>7030429334</v>
      </c>
      <c r="H287" s="68" t="s">
        <v>3085</v>
      </c>
      <c r="I287" s="67"/>
      <c r="J287" s="67" t="s">
        <v>3086</v>
      </c>
    </row>
    <row r="288" spans="3:10">
      <c r="C288" s="66">
        <v>279</v>
      </c>
      <c r="D288" s="67" t="s">
        <v>3087</v>
      </c>
      <c r="E288" s="67" t="s">
        <v>2432</v>
      </c>
      <c r="F288" s="67" t="s">
        <v>27</v>
      </c>
      <c r="G288" s="67">
        <v>8175172180</v>
      </c>
      <c r="H288" s="68" t="s">
        <v>3088</v>
      </c>
      <c r="I288" s="67" t="s">
        <v>12</v>
      </c>
      <c r="J288" s="67" t="s">
        <v>3086</v>
      </c>
    </row>
    <row r="289" spans="3:10">
      <c r="C289" s="66">
        <v>280</v>
      </c>
      <c r="D289" s="67" t="s">
        <v>3089</v>
      </c>
      <c r="E289" s="67" t="s">
        <v>2445</v>
      </c>
      <c r="F289" s="67" t="s">
        <v>144</v>
      </c>
      <c r="G289" s="67">
        <v>8107536436</v>
      </c>
      <c r="H289" s="67" t="s">
        <v>3090</v>
      </c>
      <c r="I289" s="67"/>
      <c r="J289" s="67" t="s">
        <v>3086</v>
      </c>
    </row>
    <row r="290" spans="3:10">
      <c r="C290" s="66">
        <v>281</v>
      </c>
      <c r="D290" s="67" t="s">
        <v>3091</v>
      </c>
      <c r="E290" s="67" t="s">
        <v>2463</v>
      </c>
      <c r="F290" s="67" t="s">
        <v>64</v>
      </c>
      <c r="G290" s="67">
        <v>8052792996</v>
      </c>
      <c r="H290" s="68" t="s">
        <v>3092</v>
      </c>
      <c r="I290" s="67" t="s">
        <v>12</v>
      </c>
      <c r="J290" s="67" t="s">
        <v>3093</v>
      </c>
    </row>
    <row r="291" spans="3:10">
      <c r="C291" s="66">
        <v>282</v>
      </c>
      <c r="D291" s="67" t="s">
        <v>3094</v>
      </c>
      <c r="E291" s="67" t="s">
        <v>2436</v>
      </c>
      <c r="F291" s="67" t="s">
        <v>1962</v>
      </c>
      <c r="G291" s="67">
        <v>8130949540</v>
      </c>
      <c r="H291" s="68" t="s">
        <v>3095</v>
      </c>
      <c r="I291" s="67"/>
      <c r="J291" s="67" t="s">
        <v>3093</v>
      </c>
    </row>
    <row r="292" spans="3:10">
      <c r="C292" s="66">
        <v>283</v>
      </c>
      <c r="D292" s="67" t="s">
        <v>3096</v>
      </c>
      <c r="E292" s="67" t="s">
        <v>2432</v>
      </c>
      <c r="F292" s="67" t="s">
        <v>10</v>
      </c>
      <c r="G292" s="67">
        <v>8107070880</v>
      </c>
      <c r="H292" s="68" t="s">
        <v>3097</v>
      </c>
      <c r="I292" s="67" t="s">
        <v>9</v>
      </c>
      <c r="J292" s="67" t="s">
        <v>3098</v>
      </c>
    </row>
    <row r="293" spans="3:10">
      <c r="C293" s="66">
        <v>284</v>
      </c>
      <c r="D293" s="67" t="s">
        <v>3099</v>
      </c>
      <c r="E293" s="67" t="s">
        <v>2445</v>
      </c>
      <c r="F293" s="67" t="s">
        <v>71</v>
      </c>
      <c r="G293" s="67">
        <v>8036075659</v>
      </c>
      <c r="H293" s="67"/>
      <c r="I293" s="67"/>
      <c r="J293" s="67" t="s">
        <v>3100</v>
      </c>
    </row>
    <row r="294" spans="3:10">
      <c r="C294" s="66">
        <v>285</v>
      </c>
      <c r="D294" s="67" t="s">
        <v>3101</v>
      </c>
      <c r="E294" s="67" t="s">
        <v>2463</v>
      </c>
      <c r="F294" s="67" t="s">
        <v>64</v>
      </c>
      <c r="G294" s="67">
        <v>8067499229</v>
      </c>
      <c r="H294" s="68" t="s">
        <v>3102</v>
      </c>
      <c r="I294" s="67" t="s">
        <v>9</v>
      </c>
      <c r="J294" s="67" t="s">
        <v>3103</v>
      </c>
    </row>
    <row r="295" spans="3:10">
      <c r="C295" s="66">
        <v>286</v>
      </c>
      <c r="D295" s="67" t="s">
        <v>3104</v>
      </c>
      <c r="E295" s="67" t="s">
        <v>2436</v>
      </c>
      <c r="F295" s="67" t="s">
        <v>138</v>
      </c>
      <c r="G295" s="67">
        <v>8162322002</v>
      </c>
      <c r="H295" s="67"/>
      <c r="I295" s="67"/>
      <c r="J295" s="67" t="s">
        <v>3105</v>
      </c>
    </row>
    <row r="296" spans="3:10">
      <c r="C296" s="66">
        <v>287</v>
      </c>
      <c r="D296" s="67" t="s">
        <v>3106</v>
      </c>
      <c r="E296" s="67" t="s">
        <v>2442</v>
      </c>
      <c r="F296" s="67" t="s">
        <v>62</v>
      </c>
      <c r="G296" s="67">
        <v>7032929535</v>
      </c>
      <c r="H296" s="67"/>
      <c r="I296" s="67"/>
      <c r="J296" s="67" t="s">
        <v>3107</v>
      </c>
    </row>
    <row r="297" spans="3:10">
      <c r="C297" s="66">
        <v>288</v>
      </c>
      <c r="D297" s="67" t="s">
        <v>3108</v>
      </c>
      <c r="E297" s="67" t="s">
        <v>2432</v>
      </c>
      <c r="F297" s="67" t="s">
        <v>16</v>
      </c>
      <c r="G297" s="67">
        <v>7062174036</v>
      </c>
      <c r="H297" s="68" t="s">
        <v>3109</v>
      </c>
      <c r="I297" s="67" t="s">
        <v>12</v>
      </c>
      <c r="J297" s="67" t="s">
        <v>3107</v>
      </c>
    </row>
    <row r="298" spans="3:10">
      <c r="C298" s="66">
        <v>289</v>
      </c>
      <c r="D298" s="67" t="s">
        <v>3110</v>
      </c>
      <c r="E298" s="67" t="s">
        <v>2429</v>
      </c>
      <c r="F298" s="67" t="s">
        <v>57</v>
      </c>
      <c r="G298" s="67">
        <v>9033481448</v>
      </c>
      <c r="H298" s="68" t="s">
        <v>3111</v>
      </c>
      <c r="I298" s="67"/>
      <c r="J298" s="67" t="s">
        <v>3112</v>
      </c>
    </row>
    <row r="299" spans="3:10">
      <c r="C299" s="66">
        <v>290</v>
      </c>
      <c r="D299" s="67" t="s">
        <v>3113</v>
      </c>
      <c r="E299" s="67" t="s">
        <v>2436</v>
      </c>
      <c r="F299" s="67" t="s">
        <v>2120</v>
      </c>
      <c r="G299" s="67">
        <v>8094233447</v>
      </c>
      <c r="H299" s="67"/>
      <c r="I299" s="67"/>
      <c r="J299" s="67" t="s">
        <v>3114</v>
      </c>
    </row>
    <row r="300" spans="3:10">
      <c r="C300" s="66"/>
      <c r="D300" s="67"/>
      <c r="E300" s="67"/>
      <c r="F300" s="67"/>
      <c r="G300" s="67"/>
      <c r="H300" s="67"/>
      <c r="I300" s="67"/>
      <c r="J300" s="67"/>
    </row>
    <row r="301" spans="3:10">
      <c r="C301" s="66"/>
      <c r="D301" s="67"/>
      <c r="E301" s="67"/>
      <c r="F301" s="67"/>
      <c r="G301" s="67"/>
      <c r="H301" s="67"/>
      <c r="I301" s="67"/>
      <c r="J301" s="67"/>
    </row>
    <row r="302" spans="3:10">
      <c r="C302" s="66"/>
      <c r="D302" s="67"/>
      <c r="E302" s="67"/>
      <c r="F302" s="67"/>
      <c r="G302" s="67"/>
      <c r="H302" s="67"/>
      <c r="I302" s="67"/>
      <c r="J302" s="67"/>
    </row>
    <row r="303" spans="3:10">
      <c r="C303" s="66"/>
      <c r="D303" s="67"/>
      <c r="E303" s="67"/>
      <c r="F303" s="67"/>
      <c r="G303" s="67"/>
      <c r="H303" s="67"/>
      <c r="I303" s="67"/>
      <c r="J303" s="67"/>
    </row>
    <row r="304" spans="3:10">
      <c r="C304" s="66"/>
      <c r="D304" s="67"/>
      <c r="E304" s="67"/>
      <c r="F304" s="67"/>
      <c r="G304" s="67"/>
      <c r="H304" s="67"/>
      <c r="I304" s="67"/>
      <c r="J304" s="67"/>
    </row>
  </sheetData>
  <hyperlinks>
    <hyperlink ref="H12" r:id="rId1"/>
    <hyperlink ref="H13" r:id="rId2"/>
    <hyperlink ref="H15" r:id="rId3"/>
    <hyperlink ref="H17" r:id="rId4"/>
    <hyperlink ref="H19" r:id="rId5"/>
    <hyperlink ref="H20" r:id="rId6"/>
    <hyperlink ref="H22" r:id="rId7"/>
    <hyperlink ref="H23" r:id="rId8"/>
    <hyperlink ref="H24" r:id="rId9"/>
    <hyperlink ref="H26" r:id="rId10"/>
    <hyperlink ref="H27" r:id="rId11"/>
    <hyperlink ref="H28" r:id="rId12"/>
    <hyperlink ref="H31" r:id="rId13"/>
    <hyperlink ref="H33" r:id="rId14"/>
    <hyperlink ref="H34" r:id="rId15"/>
    <hyperlink ref="H35" r:id="rId16"/>
    <hyperlink ref="H36" r:id="rId17"/>
    <hyperlink ref="H37" r:id="rId18"/>
    <hyperlink ref="H39" r:id="rId19"/>
    <hyperlink ref="H40" r:id="rId20"/>
    <hyperlink ref="H41" r:id="rId21"/>
    <hyperlink ref="H42" r:id="rId22"/>
    <hyperlink ref="H46" r:id="rId23"/>
    <hyperlink ref="H47" r:id="rId24"/>
    <hyperlink ref="H48" r:id="rId25"/>
    <hyperlink ref="H50" r:id="rId26"/>
    <hyperlink ref="H54" r:id="rId27"/>
    <hyperlink ref="H56" r:id="rId28"/>
    <hyperlink ref="H57" r:id="rId29"/>
    <hyperlink ref="H58" r:id="rId30"/>
    <hyperlink ref="H59" r:id="rId31"/>
    <hyperlink ref="H60" r:id="rId32"/>
    <hyperlink ref="H61" r:id="rId33"/>
    <hyperlink ref="H62" r:id="rId34"/>
    <hyperlink ref="H64" r:id="rId35"/>
    <hyperlink ref="H66" r:id="rId36"/>
    <hyperlink ref="H67" r:id="rId37"/>
    <hyperlink ref="H69" r:id="rId38"/>
    <hyperlink ref="H71" r:id="rId39"/>
    <hyperlink ref="H76" r:id="rId40"/>
    <hyperlink ref="H77" r:id="rId41"/>
    <hyperlink ref="H81" r:id="rId42"/>
    <hyperlink ref="H82" r:id="rId43"/>
    <hyperlink ref="H84" r:id="rId44"/>
    <hyperlink ref="H85" r:id="rId45"/>
    <hyperlink ref="H86" r:id="rId46"/>
    <hyperlink ref="H87" r:id="rId47"/>
    <hyperlink ref="H88" r:id="rId48"/>
    <hyperlink ref="H89" r:id="rId49"/>
    <hyperlink ref="H90" r:id="rId50"/>
    <hyperlink ref="H92" r:id="rId51"/>
    <hyperlink ref="H94" r:id="rId52"/>
    <hyperlink ref="H95" r:id="rId53"/>
    <hyperlink ref="H96" r:id="rId54"/>
    <hyperlink ref="H98" r:id="rId55"/>
    <hyperlink ref="H99" r:id="rId56"/>
    <hyperlink ref="H100" r:id="rId57"/>
    <hyperlink ref="H102" r:id="rId58"/>
    <hyperlink ref="H104" r:id="rId59"/>
    <hyperlink ref="H105" r:id="rId60"/>
    <hyperlink ref="H107" r:id="rId61"/>
    <hyperlink ref="H108" r:id="rId62"/>
    <hyperlink ref="H109" r:id="rId63"/>
    <hyperlink ref="H111" r:id="rId64"/>
    <hyperlink ref="H113" r:id="rId65"/>
    <hyperlink ref="H114" r:id="rId66"/>
    <hyperlink ref="H115" r:id="rId67"/>
    <hyperlink ref="H116" r:id="rId68"/>
    <hyperlink ref="H117" r:id="rId69"/>
    <hyperlink ref="H118" r:id="rId70"/>
    <hyperlink ref="H119" r:id="rId71"/>
    <hyperlink ref="H120" r:id="rId72"/>
    <hyperlink ref="H122" r:id="rId73"/>
    <hyperlink ref="H124" r:id="rId74"/>
    <hyperlink ref="H125" r:id="rId75"/>
    <hyperlink ref="H126" r:id="rId76"/>
    <hyperlink ref="H127" r:id="rId77"/>
    <hyperlink ref="H131" r:id="rId78"/>
    <hyperlink ref="H133" r:id="rId79"/>
    <hyperlink ref="H134" r:id="rId80"/>
    <hyperlink ref="H135" r:id="rId81"/>
    <hyperlink ref="H136" r:id="rId82"/>
    <hyperlink ref="H138" r:id="rId83"/>
    <hyperlink ref="H139" r:id="rId84"/>
    <hyperlink ref="H146" r:id="rId85"/>
    <hyperlink ref="H147" r:id="rId86"/>
    <hyperlink ref="H149" r:id="rId87"/>
    <hyperlink ref="H150" r:id="rId88"/>
    <hyperlink ref="H151" r:id="rId89"/>
    <hyperlink ref="H152" r:id="rId90"/>
    <hyperlink ref="H158" r:id="rId91"/>
    <hyperlink ref="H159" r:id="rId92"/>
    <hyperlink ref="H160" r:id="rId93"/>
    <hyperlink ref="H161" r:id="rId94"/>
    <hyperlink ref="H163" r:id="rId95"/>
    <hyperlink ref="H165" r:id="rId96"/>
    <hyperlink ref="H166" r:id="rId97"/>
    <hyperlink ref="H167" r:id="rId98"/>
    <hyperlink ref="H168" r:id="rId99"/>
    <hyperlink ref="H169" r:id="rId100"/>
    <hyperlink ref="H171" r:id="rId101"/>
    <hyperlink ref="H173" r:id="rId102"/>
    <hyperlink ref="H175" r:id="rId103"/>
    <hyperlink ref="H176" r:id="rId104"/>
    <hyperlink ref="H177" r:id="rId105"/>
    <hyperlink ref="H180" r:id="rId106"/>
    <hyperlink ref="H181" r:id="rId107"/>
    <hyperlink ref="H182" r:id="rId108"/>
    <hyperlink ref="H184" r:id="rId109"/>
    <hyperlink ref="H185" r:id="rId110"/>
    <hyperlink ref="H186" r:id="rId111"/>
    <hyperlink ref="H187" r:id="rId112"/>
    <hyperlink ref="H188" r:id="rId113"/>
    <hyperlink ref="H190" r:id="rId114"/>
    <hyperlink ref="H191" r:id="rId115"/>
    <hyperlink ref="H194" r:id="rId116"/>
    <hyperlink ref="H195" r:id="rId117"/>
    <hyperlink ref="H197" r:id="rId118"/>
    <hyperlink ref="H201" r:id="rId119"/>
    <hyperlink ref="H203" r:id="rId120"/>
    <hyperlink ref="H204" r:id="rId121"/>
    <hyperlink ref="H209" r:id="rId122"/>
    <hyperlink ref="H212" r:id="rId123"/>
    <hyperlink ref="H213" r:id="rId124"/>
    <hyperlink ref="H214" r:id="rId125"/>
    <hyperlink ref="H217" r:id="rId126"/>
    <hyperlink ref="H218" r:id="rId127"/>
    <hyperlink ref="H219" r:id="rId128"/>
    <hyperlink ref="H220" r:id="rId129"/>
    <hyperlink ref="H221" r:id="rId130"/>
    <hyperlink ref="H222" r:id="rId131"/>
    <hyperlink ref="H223" r:id="rId132"/>
    <hyperlink ref="H224" r:id="rId133"/>
    <hyperlink ref="H225" r:id="rId134"/>
    <hyperlink ref="H226" r:id="rId135"/>
    <hyperlink ref="H230" r:id="rId136"/>
    <hyperlink ref="H233" r:id="rId137"/>
    <hyperlink ref="H235" r:id="rId138"/>
    <hyperlink ref="H237" r:id="rId139"/>
    <hyperlink ref="H238" r:id="rId140"/>
    <hyperlink ref="H240" r:id="rId141"/>
    <hyperlink ref="H241" r:id="rId142"/>
    <hyperlink ref="H243" r:id="rId143"/>
    <hyperlink ref="H244" r:id="rId144"/>
    <hyperlink ref="H245" r:id="rId145"/>
    <hyperlink ref="H249" r:id="rId146"/>
    <hyperlink ref="H251" r:id="rId147"/>
    <hyperlink ref="H252" r:id="rId148"/>
    <hyperlink ref="H253" r:id="rId149"/>
    <hyperlink ref="H254" r:id="rId150"/>
    <hyperlink ref="H255" r:id="rId151"/>
    <hyperlink ref="H256" r:id="rId152"/>
    <hyperlink ref="H260" r:id="rId153"/>
    <hyperlink ref="H262" r:id="rId154"/>
    <hyperlink ref="H264" r:id="rId155"/>
    <hyperlink ref="H265" r:id="rId156"/>
    <hyperlink ref="H266" r:id="rId157"/>
    <hyperlink ref="H267" r:id="rId158"/>
    <hyperlink ref="H270" r:id="rId159"/>
    <hyperlink ref="H271" r:id="rId160"/>
    <hyperlink ref="H272" r:id="rId161"/>
    <hyperlink ref="H273" r:id="rId162"/>
    <hyperlink ref="H274" r:id="rId163"/>
    <hyperlink ref="H275" r:id="rId164"/>
    <hyperlink ref="H277" r:id="rId165"/>
    <hyperlink ref="H278" r:id="rId166"/>
    <hyperlink ref="H279" r:id="rId167"/>
    <hyperlink ref="H280" r:id="rId168"/>
    <hyperlink ref="H281" r:id="rId169"/>
    <hyperlink ref="H282" r:id="rId170"/>
    <hyperlink ref="H283" r:id="rId171"/>
    <hyperlink ref="H284" r:id="rId172"/>
    <hyperlink ref="H285" r:id="rId173"/>
    <hyperlink ref="H287" r:id="rId174"/>
    <hyperlink ref="H288" r:id="rId175"/>
    <hyperlink ref="H290" r:id="rId176"/>
    <hyperlink ref="H291" r:id="rId177"/>
    <hyperlink ref="H292" r:id="rId178"/>
    <hyperlink ref="H294" r:id="rId179"/>
    <hyperlink ref="H297" r:id="rId180"/>
    <hyperlink ref="H298" r:id="rId181"/>
  </hyperlinks>
  <pageMargins left="0.7" right="0.7" top="0.75" bottom="0.75" header="0.3" footer="0.3"/>
  <pageSetup paperSize="0"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B3:H294"/>
  <sheetViews>
    <sheetView workbookViewId="0">
      <selection activeCell="H11" sqref="H11"/>
    </sheetView>
  </sheetViews>
  <sheetFormatPr defaultColWidth="9" defaultRowHeight="15"/>
  <cols>
    <col min="1" max="1" width="8.5703125" customWidth="1"/>
    <col min="2" max="2" width="33.5703125" customWidth="1"/>
    <col min="3" max="3" width="8.5703125" customWidth="1"/>
    <col min="4" max="4" width="32.28515625" customWidth="1"/>
    <col min="5" max="5" width="8.5703125" customWidth="1"/>
    <col min="6" max="6" width="23.5703125" customWidth="1"/>
    <col min="7" max="7" width="9.140625" customWidth="1"/>
    <col min="8" max="256" width="8.5703125" customWidth="1"/>
  </cols>
  <sheetData>
    <row r="3" spans="2:8" ht="15.75">
      <c r="D3" s="42"/>
      <c r="E3" s="43"/>
      <c r="G3" s="44" t="s">
        <v>0</v>
      </c>
      <c r="H3" s="42"/>
    </row>
    <row r="4" spans="2:8" ht="15.75">
      <c r="D4" s="42"/>
      <c r="E4" s="43"/>
      <c r="G4" s="44" t="s">
        <v>1</v>
      </c>
      <c r="H4" s="42"/>
    </row>
    <row r="5" spans="2:8" ht="15.75">
      <c r="D5" s="42"/>
      <c r="E5" s="45"/>
      <c r="G5" s="46" t="s">
        <v>2</v>
      </c>
      <c r="H5" s="42"/>
    </row>
    <row r="6" spans="2:8" ht="15.75">
      <c r="C6" s="42"/>
      <c r="D6" s="45"/>
      <c r="F6" s="46"/>
      <c r="G6" s="42"/>
    </row>
    <row r="7" spans="2:8">
      <c r="C7" s="60" t="s">
        <v>554</v>
      </c>
      <c r="D7" s="61"/>
      <c r="E7" s="61"/>
      <c r="F7" s="61"/>
      <c r="G7" s="61"/>
    </row>
    <row r="8" spans="2:8" ht="15.75">
      <c r="C8" s="62" t="s">
        <v>950</v>
      </c>
      <c r="D8" s="61"/>
      <c r="E8" s="61"/>
      <c r="F8" s="61"/>
      <c r="G8" s="61"/>
    </row>
    <row r="11" spans="2:8" ht="18.75">
      <c r="B11" s="207" t="s">
        <v>2423</v>
      </c>
      <c r="C11" s="208"/>
      <c r="D11" s="208"/>
      <c r="E11" s="208"/>
      <c r="F11" s="208"/>
      <c r="G11" s="208"/>
    </row>
    <row r="12" spans="2:8">
      <c r="B12" s="71" t="s">
        <v>1948</v>
      </c>
      <c r="C12" s="72" t="s">
        <v>7</v>
      </c>
      <c r="D12" s="72" t="s">
        <v>1949</v>
      </c>
      <c r="E12" s="71" t="s">
        <v>1950</v>
      </c>
      <c r="F12" s="72" t="s">
        <v>954</v>
      </c>
      <c r="G12" s="73" t="s">
        <v>6</v>
      </c>
    </row>
    <row r="13" spans="2:8">
      <c r="B13" s="71" t="s">
        <v>1951</v>
      </c>
      <c r="C13" s="71" t="s">
        <v>77</v>
      </c>
      <c r="D13" s="71" t="s">
        <v>1952</v>
      </c>
      <c r="E13" s="74">
        <v>41275</v>
      </c>
      <c r="F13" s="71">
        <v>8063924106</v>
      </c>
      <c r="G13" s="75" t="s">
        <v>1953</v>
      </c>
    </row>
    <row r="14" spans="2:8">
      <c r="B14" s="71" t="s">
        <v>1954</v>
      </c>
      <c r="C14" s="71" t="s">
        <v>144</v>
      </c>
      <c r="D14" s="71" t="s">
        <v>1955</v>
      </c>
      <c r="E14" s="74">
        <v>41280</v>
      </c>
      <c r="F14" s="71">
        <v>8108802174</v>
      </c>
      <c r="G14" s="75" t="s">
        <v>1956</v>
      </c>
    </row>
    <row r="15" spans="2:8">
      <c r="B15" s="71" t="s">
        <v>1957</v>
      </c>
      <c r="C15" s="71" t="s">
        <v>144</v>
      </c>
      <c r="D15" s="71"/>
      <c r="E15" s="74">
        <v>41280</v>
      </c>
      <c r="F15" s="71">
        <v>8164628577</v>
      </c>
      <c r="G15" s="75" t="s">
        <v>1958</v>
      </c>
    </row>
    <row r="16" spans="2:8">
      <c r="B16" s="76" t="s">
        <v>1959</v>
      </c>
      <c r="C16" s="76" t="s">
        <v>41</v>
      </c>
      <c r="D16" s="76" t="s">
        <v>1960</v>
      </c>
      <c r="E16" s="74">
        <v>41645</v>
      </c>
      <c r="F16" s="76">
        <v>8064045791</v>
      </c>
      <c r="G16" s="75" t="s">
        <v>9</v>
      </c>
    </row>
    <row r="17" spans="2:7">
      <c r="B17" s="76" t="s">
        <v>1961</v>
      </c>
      <c r="C17" s="76" t="s">
        <v>1962</v>
      </c>
      <c r="D17" s="76" t="s">
        <v>1963</v>
      </c>
      <c r="E17" s="74">
        <v>41280</v>
      </c>
      <c r="F17" s="76">
        <v>8067320061</v>
      </c>
      <c r="G17" s="77" t="s">
        <v>1964</v>
      </c>
    </row>
    <row r="18" spans="2:7">
      <c r="B18" s="76" t="s">
        <v>1965</v>
      </c>
      <c r="C18" s="76" t="s">
        <v>75</v>
      </c>
      <c r="D18" s="76" t="s">
        <v>1966</v>
      </c>
      <c r="E18" s="74">
        <v>41649</v>
      </c>
      <c r="F18" s="76">
        <v>8064045791</v>
      </c>
      <c r="G18" s="75" t="s">
        <v>12</v>
      </c>
    </row>
    <row r="19" spans="2:7">
      <c r="B19" s="71" t="s">
        <v>1967</v>
      </c>
      <c r="C19" s="71" t="s">
        <v>64</v>
      </c>
      <c r="D19" s="71" t="s">
        <v>1968</v>
      </c>
      <c r="E19" s="74">
        <v>41284</v>
      </c>
      <c r="F19" s="71">
        <v>7036848188</v>
      </c>
      <c r="G19" s="75" t="s">
        <v>1964</v>
      </c>
    </row>
    <row r="20" spans="2:7">
      <c r="B20" s="71" t="s">
        <v>1969</v>
      </c>
      <c r="C20" s="71" t="s">
        <v>213</v>
      </c>
      <c r="D20" s="71" t="s">
        <v>1970</v>
      </c>
      <c r="E20" s="74">
        <v>42014</v>
      </c>
      <c r="F20" s="71">
        <v>8130623743</v>
      </c>
      <c r="G20" s="75" t="s">
        <v>12</v>
      </c>
    </row>
    <row r="21" spans="2:7">
      <c r="B21" s="71" t="s">
        <v>1971</v>
      </c>
      <c r="C21" s="71" t="s">
        <v>43</v>
      </c>
      <c r="D21" s="71" t="s">
        <v>1972</v>
      </c>
      <c r="E21" s="74">
        <v>41285</v>
      </c>
      <c r="F21" s="71">
        <v>8093680944</v>
      </c>
      <c r="G21" s="75" t="s">
        <v>1956</v>
      </c>
    </row>
    <row r="22" spans="2:7">
      <c r="B22" s="71" t="s">
        <v>1973</v>
      </c>
      <c r="C22" s="71" t="s">
        <v>14</v>
      </c>
      <c r="D22" s="71" t="s">
        <v>1974</v>
      </c>
      <c r="E22" s="74">
        <v>42016</v>
      </c>
      <c r="F22" s="71">
        <v>7062780007</v>
      </c>
      <c r="G22" s="75" t="s">
        <v>12</v>
      </c>
    </row>
    <row r="23" spans="2:7">
      <c r="B23" s="71" t="s">
        <v>1975</v>
      </c>
      <c r="C23" s="71" t="s">
        <v>16</v>
      </c>
      <c r="D23" s="71"/>
      <c r="E23" s="74">
        <v>41286</v>
      </c>
      <c r="F23" s="71">
        <v>8030885620</v>
      </c>
      <c r="G23" s="75" t="s">
        <v>1976</v>
      </c>
    </row>
    <row r="24" spans="2:7">
      <c r="B24" s="76" t="s">
        <v>1977</v>
      </c>
      <c r="C24" s="76" t="s">
        <v>21</v>
      </c>
      <c r="D24" s="76" t="s">
        <v>1978</v>
      </c>
      <c r="E24" s="74">
        <v>41287</v>
      </c>
      <c r="F24" s="76">
        <v>8063863089</v>
      </c>
      <c r="G24" s="77" t="s">
        <v>1976</v>
      </c>
    </row>
    <row r="25" spans="2:7">
      <c r="B25" s="76" t="s">
        <v>1979</v>
      </c>
      <c r="C25" s="76" t="s">
        <v>75</v>
      </c>
      <c r="D25" s="76" t="s">
        <v>1980</v>
      </c>
      <c r="E25" s="74">
        <v>41653</v>
      </c>
      <c r="F25" s="76">
        <v>8165656034</v>
      </c>
      <c r="G25" s="75" t="s">
        <v>12</v>
      </c>
    </row>
    <row r="26" spans="2:7">
      <c r="B26" s="71" t="s">
        <v>1981</v>
      </c>
      <c r="C26" s="71" t="s">
        <v>14</v>
      </c>
      <c r="D26" s="71" t="s">
        <v>1982</v>
      </c>
      <c r="E26" s="74">
        <v>41289</v>
      </c>
      <c r="F26" s="71">
        <v>8136494375</v>
      </c>
      <c r="G26" s="75" t="s">
        <v>1983</v>
      </c>
    </row>
    <row r="27" spans="2:7">
      <c r="B27" s="71" t="s">
        <v>1984</v>
      </c>
      <c r="C27" s="71" t="s">
        <v>27</v>
      </c>
      <c r="D27" s="71" t="s">
        <v>1985</v>
      </c>
      <c r="E27" s="74">
        <v>41291</v>
      </c>
      <c r="F27" s="71">
        <v>7063973244</v>
      </c>
      <c r="G27" s="75" t="s">
        <v>1986</v>
      </c>
    </row>
    <row r="28" spans="2:7">
      <c r="B28" s="71" t="s">
        <v>1987</v>
      </c>
      <c r="C28" s="71" t="s">
        <v>1962</v>
      </c>
      <c r="D28" s="71"/>
      <c r="E28" s="74">
        <v>42021</v>
      </c>
      <c r="F28" s="71">
        <v>8122890420</v>
      </c>
      <c r="G28" s="75" t="s">
        <v>12</v>
      </c>
    </row>
    <row r="29" spans="2:7">
      <c r="B29" s="71" t="s">
        <v>1988</v>
      </c>
      <c r="C29" s="71" t="s">
        <v>53</v>
      </c>
      <c r="D29" s="71" t="s">
        <v>1989</v>
      </c>
      <c r="E29" s="74">
        <v>41291</v>
      </c>
      <c r="F29" s="71">
        <v>8066974472</v>
      </c>
      <c r="G29" s="75" t="s">
        <v>1976</v>
      </c>
    </row>
    <row r="30" spans="2:7">
      <c r="B30" s="76" t="s">
        <v>1990</v>
      </c>
      <c r="C30" s="76" t="s">
        <v>158</v>
      </c>
      <c r="D30" s="76" t="s">
        <v>1991</v>
      </c>
      <c r="E30" s="74">
        <v>41292</v>
      </c>
      <c r="F30" s="76">
        <v>7033981304</v>
      </c>
      <c r="G30" s="77" t="s">
        <v>1992</v>
      </c>
    </row>
    <row r="31" spans="2:7">
      <c r="B31" s="71" t="s">
        <v>1993</v>
      </c>
      <c r="C31" s="71" t="s">
        <v>77</v>
      </c>
      <c r="D31" s="71" t="s">
        <v>1994</v>
      </c>
      <c r="E31" s="74">
        <v>41293</v>
      </c>
      <c r="F31" s="71">
        <v>7083120030</v>
      </c>
      <c r="G31" s="75" t="s">
        <v>1964</v>
      </c>
    </row>
    <row r="32" spans="2:7">
      <c r="B32" s="71" t="s">
        <v>1995</v>
      </c>
      <c r="C32" s="71" t="s">
        <v>1962</v>
      </c>
      <c r="D32" s="71" t="s">
        <v>1996</v>
      </c>
      <c r="E32" s="74">
        <v>42024</v>
      </c>
      <c r="F32" s="71">
        <v>8035593853</v>
      </c>
      <c r="G32" s="75" t="s">
        <v>9</v>
      </c>
    </row>
    <row r="33" spans="2:7">
      <c r="B33" s="71" t="s">
        <v>1997</v>
      </c>
      <c r="C33" s="71" t="s">
        <v>71</v>
      </c>
      <c r="D33" s="71"/>
      <c r="E33" s="74">
        <v>41294</v>
      </c>
      <c r="F33" s="71">
        <v>7058274253</v>
      </c>
      <c r="G33" s="75" t="s">
        <v>1956</v>
      </c>
    </row>
    <row r="34" spans="2:7">
      <c r="B34" s="71" t="s">
        <v>1998</v>
      </c>
      <c r="C34" s="71" t="s">
        <v>29</v>
      </c>
      <c r="D34" s="71" t="s">
        <v>1999</v>
      </c>
      <c r="E34" s="74">
        <v>41295</v>
      </c>
      <c r="F34" s="71">
        <v>8093773571</v>
      </c>
      <c r="G34" s="75" t="s">
        <v>1983</v>
      </c>
    </row>
    <row r="35" spans="2:7">
      <c r="B35" s="71" t="s">
        <v>2000</v>
      </c>
      <c r="C35" s="71" t="s">
        <v>29</v>
      </c>
      <c r="D35" s="71" t="s">
        <v>2001</v>
      </c>
      <c r="E35" s="74">
        <v>42033</v>
      </c>
      <c r="F35" s="71">
        <v>7039318643</v>
      </c>
      <c r="G35" s="75" t="s">
        <v>12</v>
      </c>
    </row>
    <row r="36" spans="2:7">
      <c r="B36" s="71" t="s">
        <v>2002</v>
      </c>
      <c r="C36" s="71" t="s">
        <v>57</v>
      </c>
      <c r="D36" s="71" t="s">
        <v>2003</v>
      </c>
      <c r="E36" s="74">
        <v>41303</v>
      </c>
      <c r="F36" s="71">
        <v>7031870111</v>
      </c>
      <c r="G36" s="75" t="s">
        <v>1976</v>
      </c>
    </row>
    <row r="37" spans="2:7">
      <c r="B37" s="71" t="s">
        <v>2004</v>
      </c>
      <c r="C37" s="71" t="s">
        <v>16</v>
      </c>
      <c r="D37" s="71" t="s">
        <v>2005</v>
      </c>
      <c r="E37" s="74">
        <v>41304</v>
      </c>
      <c r="F37" s="71">
        <v>8136303298</v>
      </c>
      <c r="G37" s="75" t="s">
        <v>1964</v>
      </c>
    </row>
    <row r="38" spans="2:7">
      <c r="B38" s="71" t="s">
        <v>2006</v>
      </c>
      <c r="C38" s="71" t="s">
        <v>16</v>
      </c>
      <c r="D38" s="71" t="s">
        <v>2007</v>
      </c>
      <c r="E38" s="74">
        <v>41307</v>
      </c>
      <c r="F38" s="71">
        <v>7038024834</v>
      </c>
      <c r="G38" s="75" t="s">
        <v>1956</v>
      </c>
    </row>
    <row r="39" spans="2:7">
      <c r="B39" s="71" t="s">
        <v>2008</v>
      </c>
      <c r="C39" s="71" t="s">
        <v>113</v>
      </c>
      <c r="D39" s="71" t="s">
        <v>2009</v>
      </c>
      <c r="E39" s="74">
        <v>41313</v>
      </c>
      <c r="F39" s="71">
        <v>7066316400</v>
      </c>
      <c r="G39" s="75" t="s">
        <v>1983</v>
      </c>
    </row>
    <row r="40" spans="2:7">
      <c r="B40" s="71" t="s">
        <v>2010</v>
      </c>
      <c r="C40" s="71" t="s">
        <v>1962</v>
      </c>
      <c r="D40" s="71" t="s">
        <v>2011</v>
      </c>
      <c r="E40" s="74">
        <v>42044</v>
      </c>
      <c r="F40" s="71">
        <v>8034950520</v>
      </c>
      <c r="G40" s="75" t="s">
        <v>12</v>
      </c>
    </row>
    <row r="41" spans="2:7">
      <c r="B41" s="76" t="s">
        <v>2012</v>
      </c>
      <c r="C41" s="76" t="s">
        <v>33</v>
      </c>
      <c r="D41" s="71"/>
      <c r="E41" s="74">
        <v>41679</v>
      </c>
      <c r="F41" s="76">
        <v>8166221075</v>
      </c>
      <c r="G41" s="75" t="s">
        <v>12</v>
      </c>
    </row>
    <row r="42" spans="2:7">
      <c r="B42" s="71" t="s">
        <v>2013</v>
      </c>
      <c r="C42" s="71" t="s">
        <v>218</v>
      </c>
      <c r="D42" s="71" t="s">
        <v>2014</v>
      </c>
      <c r="E42" s="74">
        <v>41316</v>
      </c>
      <c r="F42" s="71">
        <v>8138586973</v>
      </c>
      <c r="G42" s="75" t="s">
        <v>1976</v>
      </c>
    </row>
    <row r="43" spans="2:7">
      <c r="B43" s="71" t="s">
        <v>2015</v>
      </c>
      <c r="C43" s="71" t="s">
        <v>38</v>
      </c>
      <c r="D43" s="71" t="s">
        <v>2016</v>
      </c>
      <c r="E43" s="74">
        <v>41317</v>
      </c>
      <c r="F43" s="71">
        <v>7034388257</v>
      </c>
      <c r="G43" s="75" t="s">
        <v>1976</v>
      </c>
    </row>
    <row r="44" spans="2:7">
      <c r="B44" s="71" t="s">
        <v>2017</v>
      </c>
      <c r="C44" s="71" t="s">
        <v>138</v>
      </c>
      <c r="D44" s="71" t="s">
        <v>2018</v>
      </c>
      <c r="E44" s="74">
        <v>41321</v>
      </c>
      <c r="F44" s="71">
        <v>7036746667</v>
      </c>
      <c r="G44" s="75" t="s">
        <v>1964</v>
      </c>
    </row>
    <row r="45" spans="2:7">
      <c r="B45" s="71" t="s">
        <v>2019</v>
      </c>
      <c r="C45" s="71" t="s">
        <v>132</v>
      </c>
      <c r="D45" s="71" t="s">
        <v>2020</v>
      </c>
      <c r="E45" s="74">
        <v>41321</v>
      </c>
      <c r="F45" s="71">
        <v>7033613404</v>
      </c>
      <c r="G45" s="75" t="s">
        <v>1964</v>
      </c>
    </row>
    <row r="46" spans="2:7">
      <c r="B46" s="76" t="s">
        <v>2021</v>
      </c>
      <c r="C46" s="76" t="s">
        <v>75</v>
      </c>
      <c r="D46" s="76" t="s">
        <v>2022</v>
      </c>
      <c r="E46" s="74">
        <v>41687</v>
      </c>
      <c r="F46" s="76">
        <v>7063260915</v>
      </c>
      <c r="G46" s="75" t="s">
        <v>12</v>
      </c>
    </row>
    <row r="47" spans="2:7">
      <c r="B47" s="71" t="s">
        <v>2023</v>
      </c>
      <c r="C47" s="71" t="s">
        <v>64</v>
      </c>
      <c r="D47" s="71" t="s">
        <v>2024</v>
      </c>
      <c r="E47" s="74">
        <v>41324</v>
      </c>
      <c r="F47" s="71">
        <v>8100050519</v>
      </c>
      <c r="G47" s="75" t="s">
        <v>1956</v>
      </c>
    </row>
    <row r="48" spans="2:7">
      <c r="B48" s="71" t="s">
        <v>2025</v>
      </c>
      <c r="C48" s="71" t="s">
        <v>77</v>
      </c>
      <c r="D48" s="71" t="s">
        <v>2026</v>
      </c>
      <c r="E48" s="74">
        <v>42057</v>
      </c>
      <c r="F48" s="71">
        <v>8067302546</v>
      </c>
      <c r="G48" s="75" t="s">
        <v>9</v>
      </c>
    </row>
    <row r="49" spans="2:7">
      <c r="B49" s="71" t="s">
        <v>2027</v>
      </c>
      <c r="C49" s="71" t="s">
        <v>16</v>
      </c>
      <c r="D49" s="71" t="s">
        <v>2028</v>
      </c>
      <c r="E49" s="74">
        <v>41329</v>
      </c>
      <c r="F49" s="71">
        <v>8079189623</v>
      </c>
      <c r="G49" s="75" t="s">
        <v>1986</v>
      </c>
    </row>
    <row r="50" spans="2:7">
      <c r="B50" s="71" t="s">
        <v>2029</v>
      </c>
      <c r="C50" s="71" t="s">
        <v>27</v>
      </c>
      <c r="D50" s="71" t="s">
        <v>2030</v>
      </c>
      <c r="E50" s="74">
        <v>41332</v>
      </c>
      <c r="F50" s="71">
        <v>7066168481</v>
      </c>
      <c r="G50" s="75" t="s">
        <v>1964</v>
      </c>
    </row>
    <row r="51" spans="2:7">
      <c r="B51" s="71" t="s">
        <v>2031</v>
      </c>
      <c r="C51" s="71" t="s">
        <v>43</v>
      </c>
      <c r="D51" s="71" t="s">
        <v>2032</v>
      </c>
      <c r="E51" s="74">
        <v>41333</v>
      </c>
      <c r="F51" s="71">
        <v>7088220822</v>
      </c>
      <c r="G51" s="75" t="s">
        <v>1956</v>
      </c>
    </row>
    <row r="52" spans="2:7">
      <c r="B52" s="76" t="s">
        <v>2033</v>
      </c>
      <c r="C52" s="76" t="s">
        <v>10</v>
      </c>
      <c r="D52" s="71" t="s">
        <v>2034</v>
      </c>
      <c r="E52" s="74">
        <v>41699</v>
      </c>
      <c r="F52" s="76">
        <v>7032040649</v>
      </c>
      <c r="G52" s="75" t="s">
        <v>12</v>
      </c>
    </row>
    <row r="53" spans="2:7">
      <c r="B53" s="71" t="s">
        <v>2035</v>
      </c>
      <c r="C53" s="71" t="s">
        <v>21</v>
      </c>
      <c r="D53" s="71" t="s">
        <v>2009</v>
      </c>
      <c r="E53" s="74">
        <v>41334</v>
      </c>
      <c r="F53" s="71">
        <v>7038293548</v>
      </c>
      <c r="G53" s="75" t="s">
        <v>1983</v>
      </c>
    </row>
    <row r="54" spans="2:7">
      <c r="B54" s="71" t="s">
        <v>2036</v>
      </c>
      <c r="C54" s="71" t="s">
        <v>218</v>
      </c>
      <c r="D54" s="71" t="s">
        <v>2037</v>
      </c>
      <c r="E54" s="74">
        <v>42066</v>
      </c>
      <c r="F54" s="71"/>
      <c r="G54" s="75" t="s">
        <v>12</v>
      </c>
    </row>
    <row r="55" spans="2:7">
      <c r="B55" s="76" t="s">
        <v>2038</v>
      </c>
      <c r="C55" s="76" t="s">
        <v>27</v>
      </c>
      <c r="D55" s="76" t="s">
        <v>2039</v>
      </c>
      <c r="E55" s="74">
        <v>41337</v>
      </c>
      <c r="F55" s="76">
        <v>8183381444</v>
      </c>
      <c r="G55" s="77" t="s">
        <v>1976</v>
      </c>
    </row>
    <row r="56" spans="2:7">
      <c r="B56" s="71" t="s">
        <v>2040</v>
      </c>
      <c r="C56" s="71" t="s">
        <v>19</v>
      </c>
      <c r="D56" s="71" t="s">
        <v>2041</v>
      </c>
      <c r="E56" s="74">
        <v>41341</v>
      </c>
      <c r="F56" s="71">
        <v>7063665467</v>
      </c>
      <c r="G56" s="75" t="s">
        <v>1992</v>
      </c>
    </row>
    <row r="57" spans="2:7">
      <c r="B57" s="76" t="s">
        <v>2042</v>
      </c>
      <c r="C57" s="76" t="s">
        <v>138</v>
      </c>
      <c r="D57" s="71" t="s">
        <v>2043</v>
      </c>
      <c r="E57" s="74">
        <v>41709</v>
      </c>
      <c r="F57" s="76">
        <v>7062665138</v>
      </c>
      <c r="G57" s="75" t="s">
        <v>9</v>
      </c>
    </row>
    <row r="58" spans="2:7">
      <c r="B58" s="71" t="s">
        <v>2044</v>
      </c>
      <c r="C58" s="71" t="s">
        <v>144</v>
      </c>
      <c r="D58" s="71" t="s">
        <v>2045</v>
      </c>
      <c r="E58" s="74">
        <v>41346</v>
      </c>
      <c r="F58" s="71">
        <v>8071160862</v>
      </c>
      <c r="G58" s="75" t="s">
        <v>1983</v>
      </c>
    </row>
    <row r="59" spans="2:7">
      <c r="B59" s="71" t="s">
        <v>2046</v>
      </c>
      <c r="C59" s="71" t="s">
        <v>144</v>
      </c>
      <c r="D59" s="71" t="s">
        <v>2047</v>
      </c>
      <c r="E59" s="74">
        <v>42076</v>
      </c>
      <c r="F59" s="71">
        <v>8162485698</v>
      </c>
      <c r="G59" s="75" t="s">
        <v>12</v>
      </c>
    </row>
    <row r="60" spans="2:7">
      <c r="B60" s="76" t="s">
        <v>2048</v>
      </c>
      <c r="C60" s="76" t="s">
        <v>16</v>
      </c>
      <c r="D60" s="71"/>
      <c r="E60" s="74">
        <v>41346</v>
      </c>
      <c r="F60" s="76">
        <v>8161117359</v>
      </c>
      <c r="G60" s="77" t="s">
        <v>1992</v>
      </c>
    </row>
    <row r="61" spans="2:7">
      <c r="B61" s="71" t="s">
        <v>2049</v>
      </c>
      <c r="C61" s="71" t="s">
        <v>21</v>
      </c>
      <c r="D61" s="71" t="s">
        <v>2050</v>
      </c>
      <c r="E61" s="74">
        <v>41348</v>
      </c>
      <c r="F61" s="71">
        <v>7034777447</v>
      </c>
      <c r="G61" s="75" t="s">
        <v>1956</v>
      </c>
    </row>
    <row r="62" spans="2:7">
      <c r="B62" s="71" t="s">
        <v>2051</v>
      </c>
      <c r="C62" s="71" t="s">
        <v>38</v>
      </c>
      <c r="D62" s="71" t="s">
        <v>2052</v>
      </c>
      <c r="E62" s="74">
        <v>41348</v>
      </c>
      <c r="F62" s="71">
        <v>7031364805</v>
      </c>
      <c r="G62" s="75" t="s">
        <v>1992</v>
      </c>
    </row>
    <row r="63" spans="2:7">
      <c r="B63" s="76" t="s">
        <v>2053</v>
      </c>
      <c r="C63" s="76" t="s">
        <v>2054</v>
      </c>
      <c r="D63" s="76" t="s">
        <v>2055</v>
      </c>
      <c r="E63" s="74">
        <v>41351</v>
      </c>
      <c r="F63" s="76">
        <v>7034206847</v>
      </c>
      <c r="G63" s="77" t="s">
        <v>1983</v>
      </c>
    </row>
    <row r="64" spans="2:7">
      <c r="B64" s="71" t="s">
        <v>2056</v>
      </c>
      <c r="C64" s="71" t="s">
        <v>113</v>
      </c>
      <c r="D64" s="71" t="s">
        <v>2057</v>
      </c>
      <c r="E64" s="74">
        <v>41352</v>
      </c>
      <c r="F64" s="71">
        <v>7062737144</v>
      </c>
      <c r="G64" s="75" t="s">
        <v>1956</v>
      </c>
    </row>
    <row r="65" spans="2:7">
      <c r="B65" s="71" t="s">
        <v>2058</v>
      </c>
      <c r="C65" s="71" t="s">
        <v>62</v>
      </c>
      <c r="D65" s="71" t="s">
        <v>2059</v>
      </c>
      <c r="E65" s="74">
        <v>41354</v>
      </c>
      <c r="F65" s="71">
        <v>8069026081</v>
      </c>
      <c r="G65" s="75" t="s">
        <v>1956</v>
      </c>
    </row>
    <row r="66" spans="2:7">
      <c r="B66" s="71" t="s">
        <v>2060</v>
      </c>
      <c r="C66" s="71" t="s">
        <v>1962</v>
      </c>
      <c r="D66" s="71" t="s">
        <v>2061</v>
      </c>
      <c r="E66" s="74">
        <v>42087</v>
      </c>
      <c r="F66" s="71">
        <v>8131128739</v>
      </c>
      <c r="G66" s="75" t="s">
        <v>12</v>
      </c>
    </row>
    <row r="67" spans="2:7">
      <c r="B67" s="76" t="s">
        <v>2062</v>
      </c>
      <c r="C67" s="76" t="s">
        <v>10</v>
      </c>
      <c r="D67" s="76" t="s">
        <v>2063</v>
      </c>
      <c r="E67" s="74">
        <v>41358</v>
      </c>
      <c r="F67" s="76">
        <v>8130117715</v>
      </c>
      <c r="G67" s="77" t="s">
        <v>1956</v>
      </c>
    </row>
    <row r="68" spans="2:7">
      <c r="B68" s="71" t="s">
        <v>2064</v>
      </c>
      <c r="C68" s="71" t="s">
        <v>21</v>
      </c>
      <c r="D68" s="71"/>
      <c r="E68" s="74">
        <v>41359</v>
      </c>
      <c r="F68" s="71">
        <v>8166057718</v>
      </c>
      <c r="G68" s="75" t="s">
        <v>1983</v>
      </c>
    </row>
    <row r="69" spans="2:7">
      <c r="B69" s="71" t="s">
        <v>2065</v>
      </c>
      <c r="C69" s="71" t="s">
        <v>71</v>
      </c>
      <c r="D69" s="71" t="s">
        <v>2066</v>
      </c>
      <c r="E69" s="74">
        <v>41359</v>
      </c>
      <c r="F69" s="71">
        <v>8189458281</v>
      </c>
      <c r="G69" s="75" t="s">
        <v>1956</v>
      </c>
    </row>
    <row r="70" spans="2:7">
      <c r="B70" s="71" t="s">
        <v>2067</v>
      </c>
      <c r="C70" s="71" t="s">
        <v>1962</v>
      </c>
      <c r="D70" s="71" t="s">
        <v>2068</v>
      </c>
      <c r="E70" s="74">
        <v>41360</v>
      </c>
      <c r="F70" s="71">
        <v>7063238084</v>
      </c>
      <c r="G70" s="75" t="s">
        <v>1992</v>
      </c>
    </row>
    <row r="71" spans="2:7">
      <c r="B71" s="71" t="s">
        <v>2069</v>
      </c>
      <c r="C71" s="71" t="s">
        <v>29</v>
      </c>
      <c r="D71" s="71" t="s">
        <v>2070</v>
      </c>
      <c r="E71" s="74">
        <v>41362</v>
      </c>
      <c r="F71" s="71">
        <v>8166333825</v>
      </c>
      <c r="G71" s="75" t="s">
        <v>1992</v>
      </c>
    </row>
    <row r="72" spans="2:7">
      <c r="B72" s="71" t="s">
        <v>2071</v>
      </c>
      <c r="C72" s="71" t="s">
        <v>71</v>
      </c>
      <c r="D72" s="71" t="s">
        <v>2003</v>
      </c>
      <c r="E72" s="74">
        <v>41364</v>
      </c>
      <c r="F72" s="71">
        <v>8029627613</v>
      </c>
      <c r="G72" s="75" t="s">
        <v>1983</v>
      </c>
    </row>
    <row r="73" spans="2:7">
      <c r="B73" s="71" t="s">
        <v>2072</v>
      </c>
      <c r="C73" s="71" t="s">
        <v>158</v>
      </c>
      <c r="D73" s="71" t="s">
        <v>2073</v>
      </c>
      <c r="E73" s="74">
        <v>42095</v>
      </c>
      <c r="F73" s="71">
        <v>8166901700</v>
      </c>
      <c r="G73" s="75" t="s">
        <v>9</v>
      </c>
    </row>
    <row r="74" spans="2:7">
      <c r="B74" s="71" t="s">
        <v>2074</v>
      </c>
      <c r="C74" s="71" t="s">
        <v>25</v>
      </c>
      <c r="D74" s="71" t="s">
        <v>2075</v>
      </c>
      <c r="E74" s="74">
        <v>41730</v>
      </c>
      <c r="F74" s="71">
        <v>8101107154</v>
      </c>
      <c r="G74" s="75" t="s">
        <v>9</v>
      </c>
    </row>
    <row r="75" spans="2:7">
      <c r="B75" s="71" t="s">
        <v>2076</v>
      </c>
      <c r="C75" s="71" t="s">
        <v>218</v>
      </c>
      <c r="D75" s="71" t="s">
        <v>2077</v>
      </c>
      <c r="E75" s="74">
        <v>41366</v>
      </c>
      <c r="F75" s="71">
        <v>7038917284</v>
      </c>
      <c r="G75" s="75" t="s">
        <v>1964</v>
      </c>
    </row>
    <row r="76" spans="2:7">
      <c r="B76" s="71" t="s">
        <v>2078</v>
      </c>
      <c r="C76" s="71" t="s">
        <v>118</v>
      </c>
      <c r="D76" s="71" t="s">
        <v>1985</v>
      </c>
      <c r="E76" s="74">
        <v>41366</v>
      </c>
      <c r="F76" s="71">
        <v>8031156827</v>
      </c>
      <c r="G76" s="75" t="s">
        <v>1964</v>
      </c>
    </row>
    <row r="77" spans="2:7">
      <c r="B77" s="71" t="s">
        <v>2079</v>
      </c>
      <c r="C77" s="71" t="s">
        <v>118</v>
      </c>
      <c r="D77" s="71" t="s">
        <v>2080</v>
      </c>
      <c r="E77" s="74">
        <v>41367</v>
      </c>
      <c r="F77" s="71">
        <v>8067537068</v>
      </c>
      <c r="G77" s="75" t="s">
        <v>1983</v>
      </c>
    </row>
    <row r="78" spans="2:7">
      <c r="B78" s="76" t="s">
        <v>2081</v>
      </c>
      <c r="C78" s="76" t="s">
        <v>14</v>
      </c>
      <c r="D78" s="76" t="s">
        <v>2082</v>
      </c>
      <c r="E78" s="74">
        <v>41369</v>
      </c>
      <c r="F78" s="76">
        <v>8062880085</v>
      </c>
      <c r="G78" s="77" t="s">
        <v>1956</v>
      </c>
    </row>
    <row r="79" spans="2:7">
      <c r="B79" s="76" t="s">
        <v>2083</v>
      </c>
      <c r="C79" s="76" t="s">
        <v>45</v>
      </c>
      <c r="D79" s="76" t="s">
        <v>2084</v>
      </c>
      <c r="E79" s="74">
        <v>41369</v>
      </c>
      <c r="F79" s="76">
        <v>8188517572</v>
      </c>
      <c r="G79" s="77" t="s">
        <v>1956</v>
      </c>
    </row>
    <row r="80" spans="2:7">
      <c r="B80" s="76" t="s">
        <v>2085</v>
      </c>
      <c r="C80" s="76" t="s">
        <v>41</v>
      </c>
      <c r="D80" s="71" t="s">
        <v>2086</v>
      </c>
      <c r="E80" s="74">
        <v>41370</v>
      </c>
      <c r="F80" s="76">
        <v>7032945789</v>
      </c>
      <c r="G80" s="77" t="s">
        <v>1956</v>
      </c>
    </row>
    <row r="81" spans="2:7">
      <c r="B81" s="71" t="s">
        <v>2087</v>
      </c>
      <c r="C81" s="71" t="s">
        <v>49</v>
      </c>
      <c r="D81" s="71" t="s">
        <v>2024</v>
      </c>
      <c r="E81" s="74">
        <v>41371</v>
      </c>
      <c r="F81" s="71">
        <v>8130300348</v>
      </c>
      <c r="G81" s="75" t="s">
        <v>1964</v>
      </c>
    </row>
    <row r="82" spans="2:7">
      <c r="B82" s="71" t="s">
        <v>2088</v>
      </c>
      <c r="C82" s="71" t="s">
        <v>25</v>
      </c>
      <c r="D82" s="71" t="s">
        <v>2089</v>
      </c>
      <c r="E82" s="74">
        <v>41373</v>
      </c>
      <c r="F82" s="71">
        <v>8105391218</v>
      </c>
      <c r="G82" s="75" t="s">
        <v>2090</v>
      </c>
    </row>
    <row r="83" spans="2:7">
      <c r="B83" s="71" t="s">
        <v>2091</v>
      </c>
      <c r="C83" s="71" t="s">
        <v>75</v>
      </c>
      <c r="D83" s="71" t="s">
        <v>2092</v>
      </c>
      <c r="E83" s="74">
        <v>41375</v>
      </c>
      <c r="F83" s="71">
        <v>8138580315</v>
      </c>
      <c r="G83" s="75" t="s">
        <v>1976</v>
      </c>
    </row>
    <row r="84" spans="2:7">
      <c r="B84" s="71" t="s">
        <v>2093</v>
      </c>
      <c r="C84" s="71" t="s">
        <v>49</v>
      </c>
      <c r="D84" s="71" t="s">
        <v>2005</v>
      </c>
      <c r="E84" s="74">
        <v>41377</v>
      </c>
      <c r="F84" s="71">
        <v>7065157779</v>
      </c>
      <c r="G84" s="75" t="s">
        <v>1964</v>
      </c>
    </row>
    <row r="85" spans="2:7">
      <c r="B85" s="71" t="s">
        <v>2094</v>
      </c>
      <c r="C85" s="71" t="s">
        <v>218</v>
      </c>
      <c r="D85" s="71" t="s">
        <v>1989</v>
      </c>
      <c r="E85" s="74">
        <v>41381</v>
      </c>
      <c r="F85" s="71">
        <v>7031670931</v>
      </c>
      <c r="G85" s="75" t="s">
        <v>1964</v>
      </c>
    </row>
    <row r="86" spans="2:7">
      <c r="B86" s="71" t="s">
        <v>2095</v>
      </c>
      <c r="C86" s="71" t="s">
        <v>144</v>
      </c>
      <c r="D86" s="71" t="s">
        <v>2096</v>
      </c>
      <c r="E86" s="74">
        <v>41381</v>
      </c>
      <c r="F86" s="71">
        <v>8062603641</v>
      </c>
      <c r="G86" s="75" t="s">
        <v>2097</v>
      </c>
    </row>
    <row r="87" spans="2:7">
      <c r="B87" s="76" t="s">
        <v>2098</v>
      </c>
      <c r="C87" s="76" t="s">
        <v>64</v>
      </c>
      <c r="D87" s="71" t="s">
        <v>2024</v>
      </c>
      <c r="E87" s="74">
        <v>41383</v>
      </c>
      <c r="F87" s="76">
        <v>8068785855</v>
      </c>
      <c r="G87" s="77" t="s">
        <v>1956</v>
      </c>
    </row>
    <row r="88" spans="2:7">
      <c r="B88" s="76" t="s">
        <v>2099</v>
      </c>
      <c r="C88" s="76" t="s">
        <v>96</v>
      </c>
      <c r="D88" s="71"/>
      <c r="E88" s="74">
        <v>41749</v>
      </c>
      <c r="F88" s="76">
        <v>8162787697</v>
      </c>
      <c r="G88" s="75" t="s">
        <v>12</v>
      </c>
    </row>
    <row r="89" spans="2:7">
      <c r="B89" s="76" t="s">
        <v>2100</v>
      </c>
      <c r="C89" s="76" t="s">
        <v>75</v>
      </c>
      <c r="D89" s="76" t="s">
        <v>2101</v>
      </c>
      <c r="E89" s="74">
        <v>41750</v>
      </c>
      <c r="F89" s="76">
        <v>8136496628</v>
      </c>
      <c r="G89" s="75" t="s">
        <v>12</v>
      </c>
    </row>
    <row r="90" spans="2:7">
      <c r="B90" s="76" t="s">
        <v>2102</v>
      </c>
      <c r="C90" s="76" t="s">
        <v>144</v>
      </c>
      <c r="D90" s="76" t="s">
        <v>2092</v>
      </c>
      <c r="E90" s="74">
        <v>41386</v>
      </c>
      <c r="F90" s="76">
        <v>7030063142</v>
      </c>
      <c r="G90" s="77" t="s">
        <v>2090</v>
      </c>
    </row>
    <row r="91" spans="2:7">
      <c r="B91" s="71" t="s">
        <v>2103</v>
      </c>
      <c r="C91" s="71" t="s">
        <v>21</v>
      </c>
      <c r="D91" s="71" t="s">
        <v>2104</v>
      </c>
      <c r="E91" s="74">
        <v>41386</v>
      </c>
      <c r="F91" s="71">
        <v>7061935087</v>
      </c>
      <c r="G91" s="75" t="s">
        <v>1983</v>
      </c>
    </row>
    <row r="92" spans="2:7">
      <c r="B92" s="71" t="s">
        <v>2105</v>
      </c>
      <c r="C92" s="71" t="s">
        <v>2106</v>
      </c>
      <c r="D92" s="71" t="s">
        <v>2107</v>
      </c>
      <c r="E92" s="74">
        <v>41386</v>
      </c>
      <c r="F92" s="71">
        <v>7060971948</v>
      </c>
      <c r="G92" s="75" t="s">
        <v>1976</v>
      </c>
    </row>
    <row r="93" spans="2:7">
      <c r="B93" s="71" t="s">
        <v>2108</v>
      </c>
      <c r="C93" s="71" t="s">
        <v>38</v>
      </c>
      <c r="D93" s="71" t="s">
        <v>2109</v>
      </c>
      <c r="E93" s="74">
        <v>41387</v>
      </c>
      <c r="F93" s="71">
        <v>8069698690</v>
      </c>
      <c r="G93" s="75" t="s">
        <v>1983</v>
      </c>
    </row>
    <row r="94" spans="2:7">
      <c r="B94" s="71" t="s">
        <v>2110</v>
      </c>
      <c r="C94" s="71" t="s">
        <v>218</v>
      </c>
      <c r="D94" s="71" t="s">
        <v>2111</v>
      </c>
      <c r="E94" s="74">
        <v>41387</v>
      </c>
      <c r="F94" s="71">
        <v>8161298649</v>
      </c>
      <c r="G94" s="75" t="s">
        <v>1964</v>
      </c>
    </row>
    <row r="95" spans="2:7">
      <c r="B95" s="71" t="s">
        <v>2112</v>
      </c>
      <c r="C95" s="71" t="s">
        <v>45</v>
      </c>
      <c r="D95" s="71" t="s">
        <v>2061</v>
      </c>
      <c r="E95" s="74">
        <v>42119</v>
      </c>
      <c r="F95" s="71">
        <v>8140710442</v>
      </c>
      <c r="G95" s="75" t="s">
        <v>12</v>
      </c>
    </row>
    <row r="96" spans="2:7">
      <c r="B96" s="76" t="s">
        <v>2113</v>
      </c>
      <c r="C96" s="76" t="s">
        <v>43</v>
      </c>
      <c r="D96" s="71"/>
      <c r="E96" s="74">
        <v>42121</v>
      </c>
      <c r="F96" s="76">
        <v>8069681239</v>
      </c>
      <c r="G96" s="75" t="s">
        <v>12</v>
      </c>
    </row>
    <row r="97" spans="2:7">
      <c r="B97" s="71" t="s">
        <v>2114</v>
      </c>
      <c r="C97" s="71" t="s">
        <v>27</v>
      </c>
      <c r="D97" s="71" t="s">
        <v>2115</v>
      </c>
      <c r="E97" s="74">
        <v>41393</v>
      </c>
      <c r="F97" s="71">
        <v>7037549214</v>
      </c>
      <c r="G97" s="75" t="s">
        <v>1964</v>
      </c>
    </row>
    <row r="98" spans="2:7">
      <c r="B98" s="76" t="s">
        <v>2116</v>
      </c>
      <c r="C98" s="76" t="s">
        <v>33</v>
      </c>
      <c r="D98" s="71" t="s">
        <v>2009</v>
      </c>
      <c r="E98" s="74">
        <v>41393</v>
      </c>
      <c r="F98" s="76">
        <v>7031802179</v>
      </c>
      <c r="G98" s="77" t="s">
        <v>1964</v>
      </c>
    </row>
    <row r="99" spans="2:7">
      <c r="B99" s="71" t="s">
        <v>2117</v>
      </c>
      <c r="C99" s="71" t="s">
        <v>21</v>
      </c>
      <c r="D99" s="71" t="s">
        <v>2118</v>
      </c>
      <c r="E99" s="74">
        <v>41395</v>
      </c>
      <c r="F99" s="71">
        <v>8160701687</v>
      </c>
      <c r="G99" s="75" t="s">
        <v>1956</v>
      </c>
    </row>
    <row r="100" spans="2:7">
      <c r="B100" s="76" t="s">
        <v>2119</v>
      </c>
      <c r="C100" s="76" t="s">
        <v>2120</v>
      </c>
      <c r="D100" s="71" t="s">
        <v>2121</v>
      </c>
      <c r="E100" s="74">
        <v>41761</v>
      </c>
      <c r="F100" s="76">
        <v>7068411476</v>
      </c>
      <c r="G100" s="75" t="s">
        <v>9</v>
      </c>
    </row>
    <row r="101" spans="2:7">
      <c r="B101" s="71" t="s">
        <v>2122</v>
      </c>
      <c r="C101" s="71" t="s">
        <v>62</v>
      </c>
      <c r="D101" s="71" t="s">
        <v>2123</v>
      </c>
      <c r="E101" s="74">
        <v>41396</v>
      </c>
      <c r="F101" s="71">
        <v>7036314250</v>
      </c>
      <c r="G101" s="75" t="s">
        <v>1956</v>
      </c>
    </row>
    <row r="102" spans="2:7">
      <c r="B102" s="71" t="s">
        <v>2124</v>
      </c>
      <c r="C102" s="71" t="s">
        <v>14</v>
      </c>
      <c r="D102" s="71" t="s">
        <v>2125</v>
      </c>
      <c r="E102" s="74">
        <v>41399</v>
      </c>
      <c r="F102" s="71">
        <v>8066392235</v>
      </c>
      <c r="G102" s="75" t="s">
        <v>1964</v>
      </c>
    </row>
    <row r="103" spans="2:7">
      <c r="B103" s="71" t="s">
        <v>2126</v>
      </c>
      <c r="C103" s="71" t="s">
        <v>77</v>
      </c>
      <c r="D103" s="71" t="s">
        <v>2127</v>
      </c>
      <c r="E103" s="74">
        <v>42129</v>
      </c>
      <c r="F103" s="71">
        <v>7068907366</v>
      </c>
      <c r="G103" s="75" t="s">
        <v>12</v>
      </c>
    </row>
    <row r="104" spans="2:7">
      <c r="B104" s="76" t="s">
        <v>2128</v>
      </c>
      <c r="C104" s="76" t="s">
        <v>1962</v>
      </c>
      <c r="D104" s="71" t="s">
        <v>2129</v>
      </c>
      <c r="E104" s="74">
        <v>41400</v>
      </c>
      <c r="F104" s="76">
        <v>8067406486</v>
      </c>
      <c r="G104" s="77" t="s">
        <v>1956</v>
      </c>
    </row>
    <row r="105" spans="2:7">
      <c r="B105" s="76" t="s">
        <v>2130</v>
      </c>
      <c r="C105" s="76" t="s">
        <v>25</v>
      </c>
      <c r="D105" s="71" t="s">
        <v>2131</v>
      </c>
      <c r="E105" s="74">
        <v>41402</v>
      </c>
      <c r="F105" s="76">
        <v>7033661876</v>
      </c>
      <c r="G105" s="77" t="s">
        <v>2132</v>
      </c>
    </row>
    <row r="106" spans="2:7">
      <c r="B106" s="76" t="s">
        <v>2133</v>
      </c>
      <c r="C106" s="76" t="s">
        <v>14</v>
      </c>
      <c r="D106" s="71" t="s">
        <v>2134</v>
      </c>
      <c r="E106" s="74">
        <v>42132</v>
      </c>
      <c r="F106" s="76">
        <v>8176169218</v>
      </c>
      <c r="G106" s="77" t="s">
        <v>12</v>
      </c>
    </row>
    <row r="107" spans="2:7">
      <c r="B107" s="71" t="s">
        <v>2135</v>
      </c>
      <c r="C107" s="71" t="s">
        <v>14</v>
      </c>
      <c r="D107" s="71" t="s">
        <v>2009</v>
      </c>
      <c r="E107" s="74">
        <v>41402</v>
      </c>
      <c r="F107" s="71">
        <v>8155003100</v>
      </c>
      <c r="G107" s="75" t="s">
        <v>1983</v>
      </c>
    </row>
    <row r="108" spans="2:7">
      <c r="B108" s="71" t="s">
        <v>2136</v>
      </c>
      <c r="C108" s="71" t="s">
        <v>118</v>
      </c>
      <c r="D108" s="71" t="s">
        <v>2137</v>
      </c>
      <c r="E108" s="74">
        <v>41768</v>
      </c>
      <c r="F108" s="71">
        <v>7066482105</v>
      </c>
      <c r="G108" s="75" t="s">
        <v>12</v>
      </c>
    </row>
    <row r="109" spans="2:7">
      <c r="B109" s="71" t="s">
        <v>2138</v>
      </c>
      <c r="C109" s="71" t="s">
        <v>49</v>
      </c>
      <c r="D109" s="71" t="s">
        <v>2077</v>
      </c>
      <c r="E109" s="74">
        <v>41405</v>
      </c>
      <c r="F109" s="71">
        <v>8165982290</v>
      </c>
      <c r="G109" s="75" t="s">
        <v>1964</v>
      </c>
    </row>
    <row r="110" spans="2:7">
      <c r="B110" s="71" t="s">
        <v>2139</v>
      </c>
      <c r="C110" s="71" t="s">
        <v>71</v>
      </c>
      <c r="D110" s="71" t="s">
        <v>2140</v>
      </c>
      <c r="E110" s="74">
        <v>41405</v>
      </c>
      <c r="F110" s="71">
        <v>7063656451</v>
      </c>
      <c r="G110" s="75" t="s">
        <v>1956</v>
      </c>
    </row>
    <row r="111" spans="2:7">
      <c r="B111" s="71" t="s">
        <v>2141</v>
      </c>
      <c r="C111" s="71" t="s">
        <v>29</v>
      </c>
      <c r="D111" s="71" t="s">
        <v>2009</v>
      </c>
      <c r="E111" s="74">
        <v>42136</v>
      </c>
      <c r="F111" s="71">
        <v>8060888344</v>
      </c>
      <c r="G111" s="75"/>
    </row>
    <row r="112" spans="2:7">
      <c r="B112" s="71" t="s">
        <v>2142</v>
      </c>
      <c r="C112" s="71" t="s">
        <v>38</v>
      </c>
      <c r="D112" s="71" t="s">
        <v>2143</v>
      </c>
      <c r="E112" s="74">
        <v>41407</v>
      </c>
      <c r="F112" s="71">
        <v>8133174024</v>
      </c>
      <c r="G112" s="75" t="s">
        <v>1956</v>
      </c>
    </row>
    <row r="113" spans="2:7">
      <c r="B113" s="71" t="s">
        <v>2144</v>
      </c>
      <c r="C113" s="71" t="s">
        <v>2145</v>
      </c>
      <c r="D113" s="71" t="s">
        <v>2146</v>
      </c>
      <c r="E113" s="74">
        <v>41409</v>
      </c>
      <c r="F113" s="71">
        <v>8160355277</v>
      </c>
      <c r="G113" s="75" t="s">
        <v>1956</v>
      </c>
    </row>
    <row r="114" spans="2:7">
      <c r="B114" s="76" t="s">
        <v>2147</v>
      </c>
      <c r="C114" s="76" t="s">
        <v>218</v>
      </c>
      <c r="D114" s="76" t="s">
        <v>1985</v>
      </c>
      <c r="E114" s="74">
        <v>41411</v>
      </c>
      <c r="F114" s="76">
        <v>8060279520</v>
      </c>
      <c r="G114" s="77" t="s">
        <v>1956</v>
      </c>
    </row>
    <row r="115" spans="2:7">
      <c r="B115" s="71" t="s">
        <v>2148</v>
      </c>
      <c r="C115" s="71" t="s">
        <v>138</v>
      </c>
      <c r="D115" s="71" t="s">
        <v>2149</v>
      </c>
      <c r="E115" s="74">
        <v>41411</v>
      </c>
      <c r="F115" s="71">
        <v>8034783099</v>
      </c>
      <c r="G115" s="75" t="s">
        <v>2090</v>
      </c>
    </row>
    <row r="116" spans="2:7">
      <c r="B116" s="76" t="s">
        <v>2150</v>
      </c>
      <c r="C116" s="76" t="s">
        <v>1962</v>
      </c>
      <c r="D116" s="76" t="s">
        <v>2151</v>
      </c>
      <c r="E116" s="74">
        <v>41413</v>
      </c>
      <c r="F116" s="76">
        <v>7064265406</v>
      </c>
      <c r="G116" s="77" t="s">
        <v>1964</v>
      </c>
    </row>
    <row r="117" spans="2:7">
      <c r="B117" s="76" t="s">
        <v>2152</v>
      </c>
      <c r="C117" s="76" t="s">
        <v>62</v>
      </c>
      <c r="D117" s="71" t="s">
        <v>2041</v>
      </c>
      <c r="E117" s="74">
        <v>41414</v>
      </c>
      <c r="F117" s="76">
        <v>8138553329</v>
      </c>
      <c r="G117" s="77" t="s">
        <v>1976</v>
      </c>
    </row>
    <row r="118" spans="2:7">
      <c r="B118" s="71" t="s">
        <v>2153</v>
      </c>
      <c r="C118" s="71" t="s">
        <v>77</v>
      </c>
      <c r="D118" s="71" t="s">
        <v>2154</v>
      </c>
      <c r="E118" s="74">
        <v>41414</v>
      </c>
      <c r="F118" s="71">
        <v>8160613889</v>
      </c>
      <c r="G118" s="75"/>
    </row>
    <row r="119" spans="2:7">
      <c r="B119" s="71" t="s">
        <v>2155</v>
      </c>
      <c r="C119" s="71" t="s">
        <v>77</v>
      </c>
      <c r="D119" s="71" t="s">
        <v>2156</v>
      </c>
      <c r="E119" s="74">
        <v>41415</v>
      </c>
      <c r="F119" s="71">
        <v>8169562051</v>
      </c>
      <c r="G119" s="75" t="s">
        <v>1956</v>
      </c>
    </row>
    <row r="120" spans="2:7">
      <c r="B120" s="71" t="s">
        <v>2157</v>
      </c>
      <c r="C120" s="71" t="s">
        <v>19</v>
      </c>
      <c r="D120" s="71" t="s">
        <v>2024</v>
      </c>
      <c r="E120" s="74">
        <v>41419</v>
      </c>
      <c r="F120" s="71">
        <v>8181900484</v>
      </c>
      <c r="G120" s="75" t="s">
        <v>1956</v>
      </c>
    </row>
    <row r="121" spans="2:7">
      <c r="B121" s="76" t="s">
        <v>2158</v>
      </c>
      <c r="C121" s="76" t="s">
        <v>38</v>
      </c>
      <c r="D121" s="76" t="s">
        <v>2159</v>
      </c>
      <c r="E121" s="74">
        <v>41420</v>
      </c>
      <c r="F121" s="76">
        <v>7034354876</v>
      </c>
      <c r="G121" s="77" t="s">
        <v>1983</v>
      </c>
    </row>
    <row r="122" spans="2:7">
      <c r="B122" s="76" t="s">
        <v>2160</v>
      </c>
      <c r="C122" s="76" t="s">
        <v>41</v>
      </c>
      <c r="D122" s="71" t="s">
        <v>2161</v>
      </c>
      <c r="E122" s="74">
        <v>41785</v>
      </c>
      <c r="F122" s="76">
        <v>7067838466</v>
      </c>
      <c r="G122" s="75" t="s">
        <v>12</v>
      </c>
    </row>
    <row r="123" spans="2:7">
      <c r="B123" s="76" t="s">
        <v>2162</v>
      </c>
      <c r="C123" s="76" t="s">
        <v>33</v>
      </c>
      <c r="D123" s="71" t="s">
        <v>2163</v>
      </c>
      <c r="E123" s="74">
        <v>42151</v>
      </c>
      <c r="F123" s="76">
        <v>7067376228</v>
      </c>
      <c r="G123" s="75" t="s">
        <v>12</v>
      </c>
    </row>
    <row r="124" spans="2:7">
      <c r="B124" s="71" t="s">
        <v>2164</v>
      </c>
      <c r="C124" s="71" t="s">
        <v>38</v>
      </c>
      <c r="D124" s="71" t="s">
        <v>2165</v>
      </c>
      <c r="E124" s="74">
        <v>41420</v>
      </c>
      <c r="F124" s="71">
        <v>8161166400</v>
      </c>
      <c r="G124" s="75" t="s">
        <v>1956</v>
      </c>
    </row>
    <row r="125" spans="2:7">
      <c r="B125" s="71" t="s">
        <v>2166</v>
      </c>
      <c r="C125" s="71" t="s">
        <v>64</v>
      </c>
      <c r="D125" s="71" t="s">
        <v>2167</v>
      </c>
      <c r="E125" s="74">
        <v>41422</v>
      </c>
      <c r="F125" s="71">
        <v>8136060839</v>
      </c>
      <c r="G125" s="75" t="s">
        <v>1956</v>
      </c>
    </row>
    <row r="126" spans="2:7">
      <c r="B126" s="71" t="s">
        <v>2168</v>
      </c>
      <c r="C126" s="71" t="s">
        <v>118</v>
      </c>
      <c r="D126" s="71" t="s">
        <v>2137</v>
      </c>
      <c r="E126" s="74">
        <v>41787</v>
      </c>
      <c r="F126" s="71">
        <v>8160896683</v>
      </c>
      <c r="G126" s="75" t="s">
        <v>12</v>
      </c>
    </row>
    <row r="127" spans="2:7">
      <c r="B127" s="71" t="s">
        <v>2169</v>
      </c>
      <c r="C127" s="71" t="s">
        <v>113</v>
      </c>
      <c r="D127" s="71" t="s">
        <v>2154</v>
      </c>
      <c r="E127" s="74">
        <v>41425</v>
      </c>
      <c r="F127" s="71">
        <v>7030840438</v>
      </c>
      <c r="G127" s="75" t="s">
        <v>1956</v>
      </c>
    </row>
    <row r="128" spans="2:7">
      <c r="B128" s="76" t="s">
        <v>2170</v>
      </c>
      <c r="C128" s="76" t="s">
        <v>75</v>
      </c>
      <c r="D128" s="76" t="s">
        <v>2171</v>
      </c>
      <c r="E128" s="74">
        <v>41790</v>
      </c>
      <c r="F128" s="76">
        <v>8132350440</v>
      </c>
      <c r="G128" s="75" t="s">
        <v>12</v>
      </c>
    </row>
    <row r="129" spans="2:7">
      <c r="B129" s="76" t="s">
        <v>2172</v>
      </c>
      <c r="C129" s="76" t="s">
        <v>43</v>
      </c>
      <c r="D129" s="76" t="s">
        <v>2173</v>
      </c>
      <c r="E129" s="74">
        <v>41790</v>
      </c>
      <c r="F129" s="76">
        <v>7068392412</v>
      </c>
      <c r="G129" s="75" t="s">
        <v>9</v>
      </c>
    </row>
    <row r="130" spans="2:7">
      <c r="B130" s="76" t="s">
        <v>2174</v>
      </c>
      <c r="C130" s="76" t="s">
        <v>45</v>
      </c>
      <c r="D130" s="76" t="s">
        <v>2175</v>
      </c>
      <c r="E130" s="74">
        <v>41426</v>
      </c>
      <c r="F130" s="76">
        <v>8064626803</v>
      </c>
      <c r="G130" s="77" t="s">
        <v>1956</v>
      </c>
    </row>
    <row r="131" spans="2:7">
      <c r="B131" s="76" t="s">
        <v>2176</v>
      </c>
      <c r="C131" s="76" t="s">
        <v>43</v>
      </c>
      <c r="D131" s="76" t="s">
        <v>1980</v>
      </c>
      <c r="E131" s="74">
        <v>42156</v>
      </c>
      <c r="F131" s="76">
        <v>8167197776</v>
      </c>
      <c r="G131" s="77" t="s">
        <v>12</v>
      </c>
    </row>
    <row r="132" spans="2:7">
      <c r="B132" s="71" t="s">
        <v>2177</v>
      </c>
      <c r="C132" s="71" t="s">
        <v>45</v>
      </c>
      <c r="D132" s="71" t="s">
        <v>2039</v>
      </c>
      <c r="E132" s="74">
        <v>41427</v>
      </c>
      <c r="F132" s="71">
        <v>8031890576</v>
      </c>
      <c r="G132" s="75" t="s">
        <v>1976</v>
      </c>
    </row>
    <row r="133" spans="2:7">
      <c r="B133" s="76" t="s">
        <v>2178</v>
      </c>
      <c r="C133" s="76" t="s">
        <v>96</v>
      </c>
      <c r="D133" s="71" t="s">
        <v>2039</v>
      </c>
      <c r="E133" s="74">
        <v>41793</v>
      </c>
      <c r="F133" s="76">
        <v>7066128967</v>
      </c>
      <c r="G133" s="75" t="s">
        <v>12</v>
      </c>
    </row>
    <row r="134" spans="2:7">
      <c r="B134" s="71" t="s">
        <v>2179</v>
      </c>
      <c r="C134" s="71" t="s">
        <v>38</v>
      </c>
      <c r="D134" s="71" t="s">
        <v>2007</v>
      </c>
      <c r="E134" s="74">
        <v>41428</v>
      </c>
      <c r="F134" s="71">
        <v>8081179199</v>
      </c>
      <c r="G134" s="75" t="s">
        <v>1983</v>
      </c>
    </row>
    <row r="135" spans="2:7">
      <c r="B135" s="71" t="s">
        <v>2180</v>
      </c>
      <c r="C135" s="71" t="s">
        <v>132</v>
      </c>
      <c r="D135" s="71" t="s">
        <v>2181</v>
      </c>
      <c r="E135" s="74">
        <v>41432</v>
      </c>
      <c r="F135" s="71">
        <v>8065446944</v>
      </c>
      <c r="G135" s="75" t="s">
        <v>1992</v>
      </c>
    </row>
    <row r="136" spans="2:7">
      <c r="B136" s="76" t="s">
        <v>2182</v>
      </c>
      <c r="C136" s="76" t="s">
        <v>118</v>
      </c>
      <c r="D136" s="71" t="s">
        <v>2149</v>
      </c>
      <c r="E136" s="74">
        <v>41797</v>
      </c>
      <c r="F136" s="76">
        <v>8066217150</v>
      </c>
      <c r="G136" s="75" t="s">
        <v>9</v>
      </c>
    </row>
    <row r="137" spans="2:7">
      <c r="B137" s="71" t="s">
        <v>2183</v>
      </c>
      <c r="C137" s="71" t="s">
        <v>38</v>
      </c>
      <c r="D137" s="71" t="s">
        <v>2024</v>
      </c>
      <c r="E137" s="74">
        <v>41432</v>
      </c>
      <c r="F137" s="71">
        <v>8090646875</v>
      </c>
      <c r="G137" s="75" t="s">
        <v>1953</v>
      </c>
    </row>
    <row r="138" spans="2:7">
      <c r="B138" s="71" t="s">
        <v>2184</v>
      </c>
      <c r="C138" s="71" t="s">
        <v>10</v>
      </c>
      <c r="D138" s="71" t="s">
        <v>2185</v>
      </c>
      <c r="E138" s="74">
        <v>41434</v>
      </c>
      <c r="F138" s="71">
        <v>7031897044</v>
      </c>
      <c r="G138" s="75" t="s">
        <v>1964</v>
      </c>
    </row>
    <row r="139" spans="2:7">
      <c r="B139" s="76" t="s">
        <v>2186</v>
      </c>
      <c r="C139" s="76" t="s">
        <v>132</v>
      </c>
      <c r="D139" s="71" t="s">
        <v>2014</v>
      </c>
      <c r="E139" s="74">
        <v>41799</v>
      </c>
      <c r="F139" s="76">
        <v>7089554900</v>
      </c>
      <c r="G139" s="75" t="s">
        <v>12</v>
      </c>
    </row>
    <row r="140" spans="2:7">
      <c r="B140" s="76" t="s">
        <v>2187</v>
      </c>
      <c r="C140" s="76" t="s">
        <v>132</v>
      </c>
      <c r="D140" s="71" t="s">
        <v>2188</v>
      </c>
      <c r="E140" s="74">
        <v>41831</v>
      </c>
      <c r="F140" s="76">
        <v>7062709101</v>
      </c>
      <c r="G140" s="75" t="s">
        <v>9</v>
      </c>
    </row>
    <row r="141" spans="2:7">
      <c r="B141" s="76" t="s">
        <v>2189</v>
      </c>
      <c r="C141" s="76" t="s">
        <v>27</v>
      </c>
      <c r="D141" s="71"/>
      <c r="E141" s="74">
        <v>42167</v>
      </c>
      <c r="F141" s="76">
        <v>7067150307</v>
      </c>
      <c r="G141" s="75" t="s">
        <v>12</v>
      </c>
    </row>
    <row r="142" spans="2:7">
      <c r="B142" s="71" t="s">
        <v>2190</v>
      </c>
      <c r="C142" s="71" t="s">
        <v>43</v>
      </c>
      <c r="D142" s="71" t="s">
        <v>2191</v>
      </c>
      <c r="E142" s="74">
        <v>41438</v>
      </c>
      <c r="F142" s="71">
        <v>7039550180</v>
      </c>
      <c r="G142" s="75" t="s">
        <v>1992</v>
      </c>
    </row>
    <row r="143" spans="2:7">
      <c r="B143" s="76" t="s">
        <v>2192</v>
      </c>
      <c r="C143" s="76" t="s">
        <v>21</v>
      </c>
      <c r="D143" s="76" t="s">
        <v>2193</v>
      </c>
      <c r="E143" s="74">
        <v>41438</v>
      </c>
      <c r="F143" s="76">
        <v>8167452213</v>
      </c>
      <c r="G143" s="77" t="s">
        <v>1956</v>
      </c>
    </row>
    <row r="144" spans="2:7">
      <c r="B144" s="76" t="s">
        <v>2194</v>
      </c>
      <c r="C144" s="76" t="s">
        <v>31</v>
      </c>
      <c r="D144" s="76" t="s">
        <v>2195</v>
      </c>
      <c r="E144" s="74">
        <v>42169</v>
      </c>
      <c r="F144" s="76">
        <v>8066005995</v>
      </c>
      <c r="G144" s="77" t="s">
        <v>12</v>
      </c>
    </row>
    <row r="145" spans="2:7">
      <c r="B145" s="76" t="s">
        <v>2196</v>
      </c>
      <c r="C145" s="76" t="s">
        <v>14</v>
      </c>
      <c r="D145" s="76" t="s">
        <v>2050</v>
      </c>
      <c r="E145" s="74">
        <v>41441</v>
      </c>
      <c r="F145" s="76">
        <v>8166205146</v>
      </c>
      <c r="G145" s="77" t="s">
        <v>1956</v>
      </c>
    </row>
    <row r="146" spans="2:7">
      <c r="B146" s="71" t="s">
        <v>2197</v>
      </c>
      <c r="C146" s="71" t="s">
        <v>118</v>
      </c>
      <c r="D146" s="71" t="s">
        <v>1955</v>
      </c>
      <c r="E146" s="74">
        <v>41442</v>
      </c>
      <c r="F146" s="71">
        <v>8062278052</v>
      </c>
      <c r="G146" s="75" t="s">
        <v>1983</v>
      </c>
    </row>
    <row r="147" spans="2:7">
      <c r="B147" s="71" t="s">
        <v>2198</v>
      </c>
      <c r="C147" s="71" t="s">
        <v>45</v>
      </c>
      <c r="D147" s="71" t="s">
        <v>2199</v>
      </c>
      <c r="E147" s="74">
        <v>42172</v>
      </c>
      <c r="F147" s="71">
        <v>8175524737</v>
      </c>
      <c r="G147" s="75" t="s">
        <v>547</v>
      </c>
    </row>
    <row r="148" spans="2:7">
      <c r="B148" s="76" t="s">
        <v>2200</v>
      </c>
      <c r="C148" s="76" t="s">
        <v>118</v>
      </c>
      <c r="D148" s="71" t="s">
        <v>2201</v>
      </c>
      <c r="E148" s="74">
        <v>41812</v>
      </c>
      <c r="F148" s="76">
        <v>8101033763</v>
      </c>
      <c r="G148" s="75" t="s">
        <v>12</v>
      </c>
    </row>
    <row r="149" spans="2:7">
      <c r="B149" s="76" t="s">
        <v>2202</v>
      </c>
      <c r="C149" s="76" t="s">
        <v>33</v>
      </c>
      <c r="D149" s="71"/>
      <c r="E149" s="74">
        <v>41814</v>
      </c>
      <c r="F149" s="76">
        <v>8100272069</v>
      </c>
      <c r="G149" s="75" t="s">
        <v>12</v>
      </c>
    </row>
    <row r="150" spans="2:7">
      <c r="B150" s="71" t="s">
        <v>2203</v>
      </c>
      <c r="C150" s="71" t="s">
        <v>14</v>
      </c>
      <c r="D150" s="71" t="s">
        <v>2045</v>
      </c>
      <c r="E150" s="74">
        <v>41449</v>
      </c>
      <c r="F150" s="71">
        <v>8025679034</v>
      </c>
      <c r="G150" s="75" t="s">
        <v>1976</v>
      </c>
    </row>
    <row r="151" spans="2:7">
      <c r="B151" s="71" t="s">
        <v>2204</v>
      </c>
      <c r="C151" s="71" t="s">
        <v>2120</v>
      </c>
      <c r="D151" s="71" t="s">
        <v>2205</v>
      </c>
      <c r="E151" s="74">
        <v>41452</v>
      </c>
      <c r="F151" s="71">
        <v>7032990716</v>
      </c>
      <c r="G151" s="75" t="s">
        <v>1986</v>
      </c>
    </row>
    <row r="152" spans="2:7">
      <c r="B152" s="71" t="s">
        <v>2206</v>
      </c>
      <c r="C152" s="71" t="s">
        <v>218</v>
      </c>
      <c r="D152" s="71" t="s">
        <v>2077</v>
      </c>
      <c r="E152" s="74">
        <v>41452</v>
      </c>
      <c r="F152" s="71">
        <v>8135684768</v>
      </c>
      <c r="G152" s="75" t="s">
        <v>1964</v>
      </c>
    </row>
    <row r="153" spans="2:7">
      <c r="B153" s="76" t="s">
        <v>2207</v>
      </c>
      <c r="C153" s="76" t="s">
        <v>31</v>
      </c>
      <c r="D153" s="71" t="s">
        <v>2032</v>
      </c>
      <c r="E153" s="74">
        <v>41455</v>
      </c>
      <c r="F153" s="76">
        <v>8169166098</v>
      </c>
      <c r="G153" s="77" t="s">
        <v>1976</v>
      </c>
    </row>
    <row r="154" spans="2:7">
      <c r="B154" s="76" t="s">
        <v>2208</v>
      </c>
      <c r="C154" s="76" t="s">
        <v>113</v>
      </c>
      <c r="D154" s="76" t="s">
        <v>2209</v>
      </c>
      <c r="E154" s="74">
        <v>41456</v>
      </c>
      <c r="F154" s="76">
        <v>8165707173</v>
      </c>
      <c r="G154" s="77" t="s">
        <v>1983</v>
      </c>
    </row>
    <row r="155" spans="2:7">
      <c r="B155" s="71" t="s">
        <v>2210</v>
      </c>
      <c r="C155" s="71" t="s">
        <v>16</v>
      </c>
      <c r="D155" s="71" t="s">
        <v>2018</v>
      </c>
      <c r="E155" s="74">
        <v>41458</v>
      </c>
      <c r="F155" s="71">
        <v>8074407150</v>
      </c>
      <c r="G155" s="75" t="s">
        <v>1964</v>
      </c>
    </row>
    <row r="156" spans="2:7">
      <c r="B156" s="71" t="s">
        <v>2211</v>
      </c>
      <c r="C156" s="71" t="s">
        <v>218</v>
      </c>
      <c r="D156" s="71" t="s">
        <v>2212</v>
      </c>
      <c r="E156" s="74">
        <v>41459</v>
      </c>
      <c r="F156" s="71">
        <v>8108461434</v>
      </c>
      <c r="G156" s="75" t="s">
        <v>1964</v>
      </c>
    </row>
    <row r="157" spans="2:7">
      <c r="B157" s="71" t="s">
        <v>2213</v>
      </c>
      <c r="C157" s="71" t="s">
        <v>16</v>
      </c>
      <c r="D157" s="71" t="s">
        <v>2214</v>
      </c>
      <c r="E157" s="74">
        <v>41461</v>
      </c>
      <c r="F157" s="71">
        <v>8106444753</v>
      </c>
      <c r="G157" s="75" t="s">
        <v>1992</v>
      </c>
    </row>
    <row r="158" spans="2:7">
      <c r="B158" s="76" t="s">
        <v>2215</v>
      </c>
      <c r="C158" s="76" t="s">
        <v>41</v>
      </c>
      <c r="D158" s="71" t="s">
        <v>2216</v>
      </c>
      <c r="E158" s="74">
        <v>41827</v>
      </c>
      <c r="F158" s="76">
        <v>8136703707</v>
      </c>
      <c r="G158" s="75" t="s">
        <v>12</v>
      </c>
    </row>
    <row r="159" spans="2:7">
      <c r="B159" s="76" t="s">
        <v>2217</v>
      </c>
      <c r="C159" s="76" t="s">
        <v>218</v>
      </c>
      <c r="D159" s="76" t="s">
        <v>2218</v>
      </c>
      <c r="E159" s="74">
        <v>41462</v>
      </c>
      <c r="F159" s="76">
        <v>7066514676</v>
      </c>
      <c r="G159" s="77" t="s">
        <v>1953</v>
      </c>
    </row>
    <row r="160" spans="2:7">
      <c r="B160" s="76" t="s">
        <v>2219</v>
      </c>
      <c r="C160" s="76" t="s">
        <v>75</v>
      </c>
      <c r="D160" s="76" t="s">
        <v>2220</v>
      </c>
      <c r="E160" s="74">
        <v>41462</v>
      </c>
      <c r="F160" s="76">
        <v>8137492557</v>
      </c>
      <c r="G160" s="77" t="s">
        <v>1976</v>
      </c>
    </row>
    <row r="161" spans="2:7">
      <c r="B161" s="71" t="s">
        <v>2221</v>
      </c>
      <c r="C161" s="71" t="s">
        <v>25</v>
      </c>
      <c r="D161" s="71" t="s">
        <v>2222</v>
      </c>
      <c r="E161" s="74">
        <v>41464</v>
      </c>
      <c r="F161" s="71">
        <v>8160067106</v>
      </c>
      <c r="G161" s="75" t="s">
        <v>1956</v>
      </c>
    </row>
    <row r="162" spans="2:7">
      <c r="B162" s="71" t="s">
        <v>2223</v>
      </c>
      <c r="C162" s="71" t="s">
        <v>71</v>
      </c>
      <c r="D162" s="71" t="s">
        <v>2224</v>
      </c>
      <c r="E162" s="74">
        <v>41465</v>
      </c>
      <c r="F162" s="71">
        <v>8062975083</v>
      </c>
      <c r="G162" s="75" t="s">
        <v>1964</v>
      </c>
    </row>
    <row r="163" spans="2:7">
      <c r="B163" s="71" t="s">
        <v>2225</v>
      </c>
      <c r="C163" s="71" t="s">
        <v>49</v>
      </c>
      <c r="D163" s="71" t="s">
        <v>2123</v>
      </c>
      <c r="E163" s="74">
        <v>41469</v>
      </c>
      <c r="F163" s="71">
        <v>8054934829</v>
      </c>
      <c r="G163" s="75" t="s">
        <v>1964</v>
      </c>
    </row>
    <row r="164" spans="2:7">
      <c r="B164" s="71" t="s">
        <v>2226</v>
      </c>
      <c r="C164" s="71" t="s">
        <v>144</v>
      </c>
      <c r="D164" s="71" t="s">
        <v>2227</v>
      </c>
      <c r="E164" s="74">
        <v>42199</v>
      </c>
      <c r="F164" s="71">
        <v>8038598852</v>
      </c>
      <c r="G164" s="75" t="s">
        <v>12</v>
      </c>
    </row>
    <row r="165" spans="2:7">
      <c r="B165" s="71" t="s">
        <v>2228</v>
      </c>
      <c r="C165" s="71" t="s">
        <v>14</v>
      </c>
      <c r="D165" s="71" t="s">
        <v>2229</v>
      </c>
      <c r="E165" s="74">
        <v>41471</v>
      </c>
      <c r="F165" s="71">
        <v>8096006591</v>
      </c>
      <c r="G165" s="75" t="s">
        <v>1983</v>
      </c>
    </row>
    <row r="166" spans="2:7">
      <c r="B166" s="76" t="s">
        <v>2230</v>
      </c>
      <c r="C166" s="76" t="s">
        <v>45</v>
      </c>
      <c r="D166" s="76" t="s">
        <v>2231</v>
      </c>
      <c r="E166" s="74">
        <v>41472</v>
      </c>
      <c r="F166" s="76">
        <v>7036318798</v>
      </c>
      <c r="G166" s="77" t="s">
        <v>1976</v>
      </c>
    </row>
    <row r="167" spans="2:7">
      <c r="B167" s="76" t="s">
        <v>2232</v>
      </c>
      <c r="C167" s="76" t="s">
        <v>19</v>
      </c>
      <c r="D167" s="76" t="s">
        <v>2233</v>
      </c>
      <c r="E167" s="74">
        <v>42202</v>
      </c>
      <c r="F167" s="76"/>
      <c r="G167" s="77" t="s">
        <v>12</v>
      </c>
    </row>
    <row r="168" spans="2:7">
      <c r="B168" s="76" t="s">
        <v>2234</v>
      </c>
      <c r="C168" s="76" t="s">
        <v>113</v>
      </c>
      <c r="D168" s="76" t="s">
        <v>2235</v>
      </c>
      <c r="E168" s="74">
        <v>42202</v>
      </c>
      <c r="F168" s="76">
        <v>8138222671</v>
      </c>
      <c r="G168" s="77" t="s">
        <v>12</v>
      </c>
    </row>
    <row r="169" spans="2:7">
      <c r="B169" s="76" t="s">
        <v>2236</v>
      </c>
      <c r="C169" s="76" t="s">
        <v>33</v>
      </c>
      <c r="D169" s="71"/>
      <c r="E169" s="74">
        <v>41839</v>
      </c>
      <c r="F169" s="76">
        <v>8186736997</v>
      </c>
      <c r="G169" s="75" t="s">
        <v>12</v>
      </c>
    </row>
    <row r="170" spans="2:7">
      <c r="B170" s="71" t="s">
        <v>2237</v>
      </c>
      <c r="C170" s="71" t="s">
        <v>113</v>
      </c>
      <c r="D170" s="71" t="s">
        <v>2238</v>
      </c>
      <c r="E170" s="74">
        <v>41475</v>
      </c>
      <c r="F170" s="71">
        <v>8165959657</v>
      </c>
      <c r="G170" s="75" t="s">
        <v>1976</v>
      </c>
    </row>
    <row r="171" spans="2:7">
      <c r="B171" s="71" t="s">
        <v>2239</v>
      </c>
      <c r="C171" s="71" t="s">
        <v>64</v>
      </c>
      <c r="D171" s="71" t="s">
        <v>2233</v>
      </c>
      <c r="E171" s="74">
        <v>42207</v>
      </c>
      <c r="F171" s="71">
        <v>8064708030</v>
      </c>
      <c r="G171" s="75" t="s">
        <v>12</v>
      </c>
    </row>
    <row r="172" spans="2:7">
      <c r="B172" s="76" t="s">
        <v>2240</v>
      </c>
      <c r="C172" s="76" t="s">
        <v>162</v>
      </c>
      <c r="D172" s="71"/>
      <c r="E172" s="74">
        <v>41478</v>
      </c>
      <c r="F172" s="76">
        <v>7064392727</v>
      </c>
      <c r="G172" s="77" t="s">
        <v>1956</v>
      </c>
    </row>
    <row r="173" spans="2:7">
      <c r="B173" s="76" t="s">
        <v>2241</v>
      </c>
      <c r="C173" s="76" t="s">
        <v>96</v>
      </c>
      <c r="D173" s="71" t="s">
        <v>2242</v>
      </c>
      <c r="E173" s="74">
        <v>41478</v>
      </c>
      <c r="F173" s="76">
        <v>8162787647</v>
      </c>
      <c r="G173" s="77" t="s">
        <v>1956</v>
      </c>
    </row>
    <row r="174" spans="2:7">
      <c r="B174" s="76" t="s">
        <v>2243</v>
      </c>
      <c r="C174" s="76" t="s">
        <v>218</v>
      </c>
      <c r="D174" s="76" t="s">
        <v>2077</v>
      </c>
      <c r="E174" s="74">
        <v>41479</v>
      </c>
      <c r="F174" s="76">
        <v>7038917284</v>
      </c>
      <c r="G174" s="77" t="s">
        <v>1964</v>
      </c>
    </row>
    <row r="175" spans="2:7">
      <c r="B175" s="76" t="s">
        <v>2244</v>
      </c>
      <c r="C175" s="76" t="s">
        <v>31</v>
      </c>
      <c r="D175" s="76" t="s">
        <v>2245</v>
      </c>
      <c r="E175" s="74">
        <v>41479</v>
      </c>
      <c r="F175" s="76">
        <v>7037532525</v>
      </c>
      <c r="G175" s="77" t="s">
        <v>1976</v>
      </c>
    </row>
    <row r="176" spans="2:7">
      <c r="B176" s="76" t="s">
        <v>2246</v>
      </c>
      <c r="C176" s="76" t="s">
        <v>21</v>
      </c>
      <c r="D176" s="76" t="s">
        <v>2247</v>
      </c>
      <c r="E176" s="74">
        <v>41481</v>
      </c>
      <c r="F176" s="76">
        <v>8134850188</v>
      </c>
      <c r="G176" s="77" t="s">
        <v>1976</v>
      </c>
    </row>
    <row r="177" spans="2:7">
      <c r="B177" s="71" t="s">
        <v>2248</v>
      </c>
      <c r="C177" s="71" t="s">
        <v>218</v>
      </c>
      <c r="D177" s="71" t="s">
        <v>2249</v>
      </c>
      <c r="E177" s="74">
        <v>41482</v>
      </c>
      <c r="F177" s="71">
        <v>8168338204</v>
      </c>
      <c r="G177" s="75" t="s">
        <v>1983</v>
      </c>
    </row>
    <row r="178" spans="2:7">
      <c r="B178" s="76" t="s">
        <v>2250</v>
      </c>
      <c r="C178" s="76" t="s">
        <v>113</v>
      </c>
      <c r="D178" s="71" t="s">
        <v>2251</v>
      </c>
      <c r="E178" s="74">
        <v>41482</v>
      </c>
      <c r="F178" s="76">
        <v>8161139374</v>
      </c>
      <c r="G178" s="77" t="s">
        <v>1956</v>
      </c>
    </row>
    <row r="179" spans="2:7">
      <c r="B179" s="76" t="s">
        <v>2252</v>
      </c>
      <c r="C179" s="76" t="s">
        <v>144</v>
      </c>
      <c r="D179" s="71"/>
      <c r="E179" s="74">
        <v>42214</v>
      </c>
      <c r="F179" s="76">
        <v>8162371557</v>
      </c>
      <c r="G179" s="75" t="s">
        <v>12</v>
      </c>
    </row>
    <row r="180" spans="2:7">
      <c r="B180" s="71" t="s">
        <v>2253</v>
      </c>
      <c r="C180" s="71" t="s">
        <v>71</v>
      </c>
      <c r="D180" s="74" t="s">
        <v>2254</v>
      </c>
      <c r="E180" s="74">
        <v>41487</v>
      </c>
      <c r="F180" s="71">
        <v>8167135714</v>
      </c>
      <c r="G180" s="75" t="s">
        <v>1964</v>
      </c>
    </row>
    <row r="181" spans="2:7">
      <c r="B181" s="71" t="s">
        <v>2255</v>
      </c>
      <c r="C181" s="71" t="s">
        <v>29</v>
      </c>
      <c r="D181" s="71" t="s">
        <v>2256</v>
      </c>
      <c r="E181" s="74">
        <v>41491</v>
      </c>
      <c r="F181" s="71">
        <v>8137842587</v>
      </c>
      <c r="G181" s="75" t="s">
        <v>1956</v>
      </c>
    </row>
    <row r="182" spans="2:7">
      <c r="B182" s="71" t="s">
        <v>2257</v>
      </c>
      <c r="C182" s="71" t="s">
        <v>16</v>
      </c>
      <c r="D182" s="71" t="s">
        <v>2151</v>
      </c>
      <c r="E182" s="74">
        <v>41493</v>
      </c>
      <c r="F182" s="71">
        <v>8162878230</v>
      </c>
      <c r="G182" s="75" t="s">
        <v>2090</v>
      </c>
    </row>
    <row r="183" spans="2:7">
      <c r="B183" s="71" t="s">
        <v>2258</v>
      </c>
      <c r="C183" s="71" t="s">
        <v>25</v>
      </c>
      <c r="D183" s="71" t="s">
        <v>2259</v>
      </c>
      <c r="E183" s="74">
        <v>41493</v>
      </c>
      <c r="F183" s="71">
        <v>8167317707</v>
      </c>
      <c r="G183" s="75" t="s">
        <v>1956</v>
      </c>
    </row>
    <row r="184" spans="2:7">
      <c r="B184" s="71" t="s">
        <v>2260</v>
      </c>
      <c r="C184" s="71" t="s">
        <v>132</v>
      </c>
      <c r="D184" s="71" t="s">
        <v>2261</v>
      </c>
      <c r="E184" s="74">
        <v>41494</v>
      </c>
      <c r="F184" s="71">
        <v>8162814711</v>
      </c>
      <c r="G184" s="75" t="s">
        <v>1964</v>
      </c>
    </row>
    <row r="185" spans="2:7">
      <c r="B185" s="71" t="s">
        <v>2262</v>
      </c>
      <c r="C185" s="71" t="s">
        <v>1962</v>
      </c>
      <c r="D185" s="71" t="s">
        <v>2024</v>
      </c>
      <c r="E185" s="74">
        <v>41494</v>
      </c>
      <c r="F185" s="71">
        <v>8059542406</v>
      </c>
      <c r="G185" s="75" t="s">
        <v>1953</v>
      </c>
    </row>
    <row r="186" spans="2:7">
      <c r="B186" s="71" t="s">
        <v>2263</v>
      </c>
      <c r="C186" s="71" t="s">
        <v>21</v>
      </c>
      <c r="D186" s="71" t="s">
        <v>2173</v>
      </c>
      <c r="E186" s="74">
        <v>41494</v>
      </c>
      <c r="F186" s="71">
        <v>8167321676</v>
      </c>
      <c r="G186" s="75" t="s">
        <v>1956</v>
      </c>
    </row>
    <row r="187" spans="2:7">
      <c r="B187" s="71" t="s">
        <v>2264</v>
      </c>
      <c r="C187" s="71" t="s">
        <v>14</v>
      </c>
      <c r="D187" s="71" t="s">
        <v>2233</v>
      </c>
      <c r="E187" s="74">
        <v>42225</v>
      </c>
      <c r="F187" s="71">
        <v>8103611121</v>
      </c>
      <c r="G187" s="75" t="s">
        <v>12</v>
      </c>
    </row>
    <row r="188" spans="2:7">
      <c r="B188" s="76" t="s">
        <v>2265</v>
      </c>
      <c r="C188" s="76" t="s">
        <v>27</v>
      </c>
      <c r="D188" s="71" t="s">
        <v>1985</v>
      </c>
      <c r="E188" s="74">
        <v>41496</v>
      </c>
      <c r="F188" s="76">
        <v>8101839016</v>
      </c>
      <c r="G188" s="77" t="s">
        <v>1992</v>
      </c>
    </row>
    <row r="189" spans="2:7">
      <c r="B189" s="76" t="s">
        <v>2266</v>
      </c>
      <c r="C189" s="76" t="s">
        <v>158</v>
      </c>
      <c r="D189" s="71" t="s">
        <v>2267</v>
      </c>
      <c r="E189" s="74">
        <v>42226</v>
      </c>
      <c r="F189" s="76">
        <v>8160897061</v>
      </c>
      <c r="G189" s="77" t="s">
        <v>12</v>
      </c>
    </row>
    <row r="190" spans="2:7">
      <c r="B190" s="71" t="s">
        <v>2268</v>
      </c>
      <c r="C190" s="71" t="s">
        <v>64</v>
      </c>
      <c r="D190" s="71" t="s">
        <v>2214</v>
      </c>
      <c r="E190" s="74">
        <v>41497</v>
      </c>
      <c r="F190" s="71">
        <v>8189422633</v>
      </c>
      <c r="G190" s="75" t="s">
        <v>1976</v>
      </c>
    </row>
    <row r="191" spans="2:7">
      <c r="B191" s="76" t="s">
        <v>2269</v>
      </c>
      <c r="C191" s="76" t="s">
        <v>38</v>
      </c>
      <c r="D191" s="76" t="s">
        <v>2270</v>
      </c>
      <c r="E191" s="74">
        <v>41500</v>
      </c>
      <c r="F191" s="76">
        <v>8055529373</v>
      </c>
      <c r="G191" s="77" t="s">
        <v>1956</v>
      </c>
    </row>
    <row r="192" spans="2:7">
      <c r="B192" s="76" t="s">
        <v>2271</v>
      </c>
      <c r="C192" s="76" t="s">
        <v>113</v>
      </c>
      <c r="D192" s="71" t="s">
        <v>2272</v>
      </c>
      <c r="E192" s="74">
        <v>41502</v>
      </c>
      <c r="F192" s="76">
        <v>7033813601</v>
      </c>
      <c r="G192" s="77" t="s">
        <v>1956</v>
      </c>
    </row>
    <row r="193" spans="2:7">
      <c r="B193" s="71" t="s">
        <v>2273</v>
      </c>
      <c r="C193" s="71" t="s">
        <v>33</v>
      </c>
      <c r="D193" s="71" t="s">
        <v>2274</v>
      </c>
      <c r="E193" s="74">
        <v>41502</v>
      </c>
      <c r="F193" s="71">
        <v>7069114368</v>
      </c>
      <c r="G193" s="75" t="s">
        <v>1956</v>
      </c>
    </row>
    <row r="194" spans="2:7">
      <c r="B194" s="71" t="s">
        <v>2275</v>
      </c>
      <c r="C194" s="71" t="s">
        <v>71</v>
      </c>
      <c r="D194" s="71" t="s">
        <v>2109</v>
      </c>
      <c r="E194" s="74">
        <v>41504</v>
      </c>
      <c r="F194" s="71">
        <v>8090772907</v>
      </c>
      <c r="G194" s="75" t="s">
        <v>1983</v>
      </c>
    </row>
    <row r="195" spans="2:7">
      <c r="B195" s="71" t="s">
        <v>2276</v>
      </c>
      <c r="C195" s="71" t="s">
        <v>144</v>
      </c>
      <c r="D195" s="71" t="s">
        <v>2277</v>
      </c>
      <c r="E195" s="74">
        <v>42236</v>
      </c>
      <c r="F195" s="71">
        <v>8188155288</v>
      </c>
      <c r="G195" s="75" t="s">
        <v>12</v>
      </c>
    </row>
    <row r="196" spans="2:7">
      <c r="B196" s="71" t="s">
        <v>2278</v>
      </c>
      <c r="C196" s="71" t="s">
        <v>43</v>
      </c>
      <c r="D196" s="71" t="s">
        <v>2024</v>
      </c>
      <c r="E196" s="74">
        <v>42236</v>
      </c>
      <c r="F196" s="71">
        <v>8067386701</v>
      </c>
      <c r="G196" s="75" t="s">
        <v>12</v>
      </c>
    </row>
    <row r="197" spans="2:7">
      <c r="B197" s="76" t="s">
        <v>2279</v>
      </c>
      <c r="C197" s="76" t="s">
        <v>64</v>
      </c>
      <c r="D197" s="71" t="s">
        <v>2280</v>
      </c>
      <c r="E197" s="74">
        <v>42238</v>
      </c>
      <c r="F197" s="76">
        <v>8164289247</v>
      </c>
      <c r="G197" s="75" t="s">
        <v>12</v>
      </c>
    </row>
    <row r="198" spans="2:7">
      <c r="B198" s="76" t="s">
        <v>2281</v>
      </c>
      <c r="C198" s="76" t="s">
        <v>57</v>
      </c>
      <c r="D198" s="71" t="s">
        <v>2037</v>
      </c>
      <c r="E198" s="74">
        <v>41509</v>
      </c>
      <c r="F198" s="76">
        <v>8122251584</v>
      </c>
      <c r="G198" s="77" t="s">
        <v>1956</v>
      </c>
    </row>
    <row r="199" spans="2:7">
      <c r="B199" s="71" t="s">
        <v>2282</v>
      </c>
      <c r="C199" s="71" t="s">
        <v>64</v>
      </c>
      <c r="D199" s="71" t="s">
        <v>2181</v>
      </c>
      <c r="E199" s="74">
        <v>41510</v>
      </c>
      <c r="F199" s="71" t="s">
        <v>898</v>
      </c>
      <c r="G199" s="75" t="s">
        <v>1956</v>
      </c>
    </row>
    <row r="200" spans="2:7">
      <c r="B200" s="71" t="s">
        <v>2283</v>
      </c>
      <c r="C200" s="71" t="s">
        <v>57</v>
      </c>
      <c r="D200" s="71" t="s">
        <v>2284</v>
      </c>
      <c r="E200" s="74">
        <v>41510</v>
      </c>
      <c r="F200" s="71">
        <v>8063835265</v>
      </c>
      <c r="G200" s="75" t="s">
        <v>1953</v>
      </c>
    </row>
    <row r="201" spans="2:7">
      <c r="B201" s="71" t="s">
        <v>2285</v>
      </c>
      <c r="C201" s="71" t="s">
        <v>49</v>
      </c>
      <c r="D201" s="71" t="s">
        <v>2286</v>
      </c>
      <c r="E201" s="74">
        <v>41512</v>
      </c>
      <c r="F201" s="71">
        <v>8133897744</v>
      </c>
      <c r="G201" s="75" t="s">
        <v>1983</v>
      </c>
    </row>
    <row r="202" spans="2:7">
      <c r="B202" s="71" t="s">
        <v>2287</v>
      </c>
      <c r="C202" s="71" t="s">
        <v>16</v>
      </c>
      <c r="D202" s="71" t="s">
        <v>2288</v>
      </c>
      <c r="E202" s="74">
        <v>41513</v>
      </c>
      <c r="F202" s="71">
        <v>8062890455</v>
      </c>
      <c r="G202" s="75" t="s">
        <v>1964</v>
      </c>
    </row>
    <row r="203" spans="2:7">
      <c r="B203" s="76" t="s">
        <v>2289</v>
      </c>
      <c r="C203" s="76" t="s">
        <v>57</v>
      </c>
      <c r="D203" s="71"/>
      <c r="E203" s="74">
        <v>41879</v>
      </c>
      <c r="F203" s="76">
        <v>8182255426</v>
      </c>
      <c r="G203" s="75" t="s">
        <v>12</v>
      </c>
    </row>
    <row r="204" spans="2:7">
      <c r="B204" s="71" t="s">
        <v>2290</v>
      </c>
      <c r="C204" s="71" t="s">
        <v>33</v>
      </c>
      <c r="D204" s="71" t="s">
        <v>2291</v>
      </c>
      <c r="E204" s="74">
        <v>41514</v>
      </c>
      <c r="F204" s="71">
        <v>8138599875</v>
      </c>
      <c r="G204" s="75" t="s">
        <v>898</v>
      </c>
    </row>
    <row r="205" spans="2:7">
      <c r="B205" s="71" t="s">
        <v>2292</v>
      </c>
      <c r="C205" s="71" t="s">
        <v>10</v>
      </c>
      <c r="D205" s="71" t="s">
        <v>2293</v>
      </c>
      <c r="E205" s="74">
        <v>41520</v>
      </c>
      <c r="F205" s="71">
        <v>8101109534</v>
      </c>
      <c r="G205" s="75" t="s">
        <v>1964</v>
      </c>
    </row>
    <row r="206" spans="2:7">
      <c r="B206" s="76" t="s">
        <v>2294</v>
      </c>
      <c r="C206" s="76" t="s">
        <v>1962</v>
      </c>
      <c r="D206" s="76" t="s">
        <v>2295</v>
      </c>
      <c r="E206" s="74">
        <v>42252</v>
      </c>
      <c r="F206" s="76">
        <v>8160871337</v>
      </c>
      <c r="G206" s="75" t="s">
        <v>9</v>
      </c>
    </row>
    <row r="207" spans="2:7">
      <c r="B207" s="76" t="s">
        <v>2296</v>
      </c>
      <c r="C207" s="76" t="s">
        <v>218</v>
      </c>
      <c r="D207" s="71" t="s">
        <v>2109</v>
      </c>
      <c r="E207" s="74">
        <v>41523</v>
      </c>
      <c r="F207" s="76">
        <v>8036399734</v>
      </c>
      <c r="G207" s="77" t="s">
        <v>1976</v>
      </c>
    </row>
    <row r="208" spans="2:7">
      <c r="B208" s="76" t="s">
        <v>2297</v>
      </c>
      <c r="C208" s="76" t="s">
        <v>27</v>
      </c>
      <c r="D208" s="76" t="s">
        <v>2092</v>
      </c>
      <c r="E208" s="74">
        <v>41524</v>
      </c>
      <c r="F208" s="76">
        <v>8164371029</v>
      </c>
      <c r="G208" s="77" t="s">
        <v>1953</v>
      </c>
    </row>
    <row r="209" spans="2:7">
      <c r="B209" s="71" t="s">
        <v>2298</v>
      </c>
      <c r="C209" s="71" t="s">
        <v>1962</v>
      </c>
      <c r="D209" s="71" t="s">
        <v>2299</v>
      </c>
      <c r="E209" s="74">
        <v>41528</v>
      </c>
      <c r="F209" s="71">
        <v>8065680109</v>
      </c>
      <c r="G209" s="75" t="s">
        <v>1953</v>
      </c>
    </row>
    <row r="210" spans="2:7">
      <c r="B210" s="71" t="s">
        <v>2300</v>
      </c>
      <c r="C210" s="71" t="s">
        <v>218</v>
      </c>
      <c r="D210" s="71" t="s">
        <v>1985</v>
      </c>
      <c r="E210" s="74">
        <v>41528</v>
      </c>
      <c r="F210" s="71">
        <v>7068813749</v>
      </c>
      <c r="G210" s="75" t="s">
        <v>1964</v>
      </c>
    </row>
    <row r="211" spans="2:7">
      <c r="B211" s="76" t="s">
        <v>2301</v>
      </c>
      <c r="C211" s="76" t="s">
        <v>144</v>
      </c>
      <c r="D211" s="76" t="s">
        <v>2286</v>
      </c>
      <c r="E211" s="74">
        <v>41528</v>
      </c>
      <c r="F211" s="76">
        <v>8139608549</v>
      </c>
      <c r="G211" s="77" t="s">
        <v>1956</v>
      </c>
    </row>
    <row r="212" spans="2:7">
      <c r="B212" s="76" t="s">
        <v>2302</v>
      </c>
      <c r="C212" s="76" t="s">
        <v>71</v>
      </c>
      <c r="D212" s="71" t="s">
        <v>2151</v>
      </c>
      <c r="E212" s="74">
        <v>41529</v>
      </c>
      <c r="F212" s="76">
        <v>7055384369</v>
      </c>
      <c r="G212" s="77" t="s">
        <v>1983</v>
      </c>
    </row>
    <row r="213" spans="2:7">
      <c r="B213" s="76" t="s">
        <v>2303</v>
      </c>
      <c r="C213" s="76" t="s">
        <v>132</v>
      </c>
      <c r="D213" s="71" t="s">
        <v>2295</v>
      </c>
      <c r="E213" s="74">
        <v>42259</v>
      </c>
      <c r="F213" s="76">
        <v>8166809362</v>
      </c>
      <c r="G213" s="77" t="s">
        <v>9</v>
      </c>
    </row>
    <row r="214" spans="2:7">
      <c r="B214" s="71" t="s">
        <v>2304</v>
      </c>
      <c r="C214" s="71" t="s">
        <v>27</v>
      </c>
      <c r="D214" s="71" t="s">
        <v>1955</v>
      </c>
      <c r="E214" s="74">
        <v>41531</v>
      </c>
      <c r="F214" s="71">
        <v>8160176476</v>
      </c>
      <c r="G214" s="75" t="s">
        <v>1983</v>
      </c>
    </row>
    <row r="215" spans="2:7">
      <c r="B215" s="71" t="s">
        <v>2305</v>
      </c>
      <c r="C215" s="71" t="s">
        <v>14</v>
      </c>
      <c r="D215" s="71" t="s">
        <v>2306</v>
      </c>
      <c r="E215" s="74">
        <v>41532</v>
      </c>
      <c r="F215" s="71">
        <v>8132587287</v>
      </c>
      <c r="G215" s="75" t="s">
        <v>1956</v>
      </c>
    </row>
    <row r="216" spans="2:7">
      <c r="B216" s="76" t="s">
        <v>2307</v>
      </c>
      <c r="C216" s="76" t="s">
        <v>118</v>
      </c>
      <c r="D216" s="71" t="s">
        <v>2308</v>
      </c>
      <c r="E216" s="74">
        <v>41898</v>
      </c>
      <c r="F216" s="76">
        <v>8161568382</v>
      </c>
      <c r="G216" s="75" t="s">
        <v>12</v>
      </c>
    </row>
    <row r="217" spans="2:7">
      <c r="B217" s="71" t="s">
        <v>2309</v>
      </c>
      <c r="C217" s="71" t="s">
        <v>113</v>
      </c>
      <c r="D217" s="71"/>
      <c r="E217" s="74">
        <v>41540</v>
      </c>
      <c r="F217" s="71">
        <v>7085316501</v>
      </c>
      <c r="G217" s="75" t="s">
        <v>1956</v>
      </c>
    </row>
    <row r="218" spans="2:7">
      <c r="B218" s="71" t="s">
        <v>2310</v>
      </c>
      <c r="C218" s="71" t="s">
        <v>77</v>
      </c>
      <c r="D218" s="71"/>
      <c r="E218" s="74">
        <v>41540</v>
      </c>
      <c r="F218" s="71">
        <v>7069204015</v>
      </c>
      <c r="G218" s="75" t="s">
        <v>1992</v>
      </c>
    </row>
    <row r="219" spans="2:7">
      <c r="B219" s="71" t="s">
        <v>2311</v>
      </c>
      <c r="C219" s="71" t="s">
        <v>213</v>
      </c>
      <c r="D219" s="71" t="s">
        <v>2214</v>
      </c>
      <c r="E219" s="74">
        <v>41540</v>
      </c>
      <c r="F219" s="71">
        <v>8102381846</v>
      </c>
      <c r="G219" s="75" t="s">
        <v>1956</v>
      </c>
    </row>
    <row r="220" spans="2:7">
      <c r="B220" s="76" t="s">
        <v>2312</v>
      </c>
      <c r="C220" s="76" t="s">
        <v>132</v>
      </c>
      <c r="D220" s="71" t="s">
        <v>2037</v>
      </c>
      <c r="E220" s="74">
        <v>41542</v>
      </c>
      <c r="F220" s="76">
        <v>7032307609</v>
      </c>
      <c r="G220" s="77" t="s">
        <v>1976</v>
      </c>
    </row>
    <row r="221" spans="2:7">
      <c r="B221" s="76" t="s">
        <v>2313</v>
      </c>
      <c r="C221" s="76" t="s">
        <v>16</v>
      </c>
      <c r="D221" s="71"/>
      <c r="E221" s="74">
        <v>42273</v>
      </c>
      <c r="F221" s="76"/>
      <c r="G221" s="77" t="s">
        <v>12</v>
      </c>
    </row>
    <row r="222" spans="2:7">
      <c r="B222" s="71" t="s">
        <v>2314</v>
      </c>
      <c r="C222" s="71" t="s">
        <v>23</v>
      </c>
      <c r="D222" s="71" t="s">
        <v>2185</v>
      </c>
      <c r="E222" s="74">
        <v>41544</v>
      </c>
      <c r="F222" s="71">
        <v>8105071355</v>
      </c>
      <c r="G222" s="75" t="s">
        <v>1964</v>
      </c>
    </row>
    <row r="223" spans="2:7">
      <c r="B223" s="71" t="s">
        <v>2315</v>
      </c>
      <c r="C223" s="71" t="s">
        <v>57</v>
      </c>
      <c r="D223" s="71" t="s">
        <v>2316</v>
      </c>
      <c r="E223" s="74">
        <v>41546</v>
      </c>
      <c r="F223" s="71">
        <v>8138840725</v>
      </c>
      <c r="G223" s="75" t="s">
        <v>1956</v>
      </c>
    </row>
    <row r="224" spans="2:7">
      <c r="B224" s="71" t="s">
        <v>2317</v>
      </c>
      <c r="C224" s="71" t="s">
        <v>19</v>
      </c>
      <c r="D224" s="71" t="s">
        <v>2242</v>
      </c>
      <c r="E224" s="74">
        <v>42278</v>
      </c>
      <c r="F224" s="71">
        <v>8064205142</v>
      </c>
      <c r="G224" s="75" t="s">
        <v>12</v>
      </c>
    </row>
    <row r="225" spans="2:7">
      <c r="B225" s="71" t="s">
        <v>2318</v>
      </c>
      <c r="C225" s="71" t="s">
        <v>2145</v>
      </c>
      <c r="D225" s="71" t="s">
        <v>2319</v>
      </c>
      <c r="E225" s="74">
        <v>41549</v>
      </c>
      <c r="F225" s="71">
        <v>7068591788</v>
      </c>
      <c r="G225" s="75" t="s">
        <v>1964</v>
      </c>
    </row>
    <row r="226" spans="2:7">
      <c r="B226" s="71" t="s">
        <v>2320</v>
      </c>
      <c r="C226" s="71" t="s">
        <v>14</v>
      </c>
      <c r="D226" s="71" t="s">
        <v>2077</v>
      </c>
      <c r="E226" s="74">
        <v>41550</v>
      </c>
      <c r="F226" s="71">
        <v>7030210645</v>
      </c>
      <c r="G226" s="75" t="s">
        <v>1964</v>
      </c>
    </row>
    <row r="227" spans="2:7">
      <c r="B227" s="76" t="s">
        <v>2321</v>
      </c>
      <c r="C227" s="76" t="s">
        <v>43</v>
      </c>
      <c r="D227" s="71" t="s">
        <v>2227</v>
      </c>
      <c r="E227" s="74">
        <v>41916</v>
      </c>
      <c r="F227" s="76">
        <v>7039720135</v>
      </c>
      <c r="G227" s="75" t="s">
        <v>12</v>
      </c>
    </row>
    <row r="228" spans="2:7">
      <c r="B228" s="76" t="s">
        <v>2322</v>
      </c>
      <c r="C228" s="76" t="s">
        <v>21</v>
      </c>
      <c r="D228" s="71" t="s">
        <v>2323</v>
      </c>
      <c r="E228" s="74">
        <v>41551</v>
      </c>
      <c r="F228" s="76">
        <v>7067861218</v>
      </c>
      <c r="G228" s="77" t="s">
        <v>1956</v>
      </c>
    </row>
    <row r="229" spans="2:7">
      <c r="B229" s="76" t="s">
        <v>2324</v>
      </c>
      <c r="C229" s="76" t="s">
        <v>53</v>
      </c>
      <c r="D229" s="71" t="s">
        <v>2325</v>
      </c>
      <c r="E229" s="74">
        <v>42283</v>
      </c>
      <c r="F229" s="76">
        <v>8036815088</v>
      </c>
      <c r="G229" s="77" t="s">
        <v>12</v>
      </c>
    </row>
    <row r="230" spans="2:7">
      <c r="B230" s="76" t="s">
        <v>2326</v>
      </c>
      <c r="C230" s="76" t="s">
        <v>43</v>
      </c>
      <c r="D230" s="71" t="s">
        <v>2327</v>
      </c>
      <c r="E230" s="74">
        <v>41920</v>
      </c>
      <c r="F230" s="76">
        <v>8063870248</v>
      </c>
      <c r="G230" s="75" t="s">
        <v>12</v>
      </c>
    </row>
    <row r="231" spans="2:7">
      <c r="B231" s="71" t="s">
        <v>2328</v>
      </c>
      <c r="C231" s="71" t="s">
        <v>96</v>
      </c>
      <c r="D231" s="71" t="s">
        <v>2329</v>
      </c>
      <c r="E231" s="74">
        <v>41555</v>
      </c>
      <c r="F231" s="71">
        <v>8130251699</v>
      </c>
      <c r="G231" s="75" t="s">
        <v>1964</v>
      </c>
    </row>
    <row r="232" spans="2:7">
      <c r="B232" s="71" t="s">
        <v>2330</v>
      </c>
      <c r="C232" s="71" t="s">
        <v>64</v>
      </c>
      <c r="D232" s="71" t="s">
        <v>2233</v>
      </c>
      <c r="E232" s="74">
        <v>41556</v>
      </c>
      <c r="F232" s="71">
        <v>8066159580</v>
      </c>
      <c r="G232" s="75" t="s">
        <v>1983</v>
      </c>
    </row>
    <row r="233" spans="2:7">
      <c r="B233" s="76" t="s">
        <v>2331</v>
      </c>
      <c r="C233" s="76" t="s">
        <v>31</v>
      </c>
      <c r="D233" s="76" t="s">
        <v>2332</v>
      </c>
      <c r="E233" s="74">
        <v>41556</v>
      </c>
      <c r="F233" s="76">
        <v>8062283692</v>
      </c>
      <c r="G233" s="77" t="s">
        <v>1976</v>
      </c>
    </row>
    <row r="234" spans="2:7">
      <c r="B234" s="76"/>
      <c r="C234" s="76" t="s">
        <v>38</v>
      </c>
      <c r="D234" s="71" t="s">
        <v>2323</v>
      </c>
      <c r="E234" s="74">
        <v>41557</v>
      </c>
      <c r="F234" s="76">
        <v>8183860432</v>
      </c>
      <c r="G234" s="77" t="s">
        <v>1983</v>
      </c>
    </row>
    <row r="235" spans="2:7">
      <c r="B235" s="71" t="s">
        <v>2333</v>
      </c>
      <c r="C235" s="71" t="s">
        <v>53</v>
      </c>
      <c r="D235" s="71" t="s">
        <v>2334</v>
      </c>
      <c r="E235" s="74">
        <v>41559</v>
      </c>
      <c r="F235" s="71">
        <v>8103226371</v>
      </c>
      <c r="G235" s="75" t="s">
        <v>1986</v>
      </c>
    </row>
    <row r="236" spans="2:7">
      <c r="B236" s="71" t="s">
        <v>2335</v>
      </c>
      <c r="C236" s="71" t="s">
        <v>10</v>
      </c>
      <c r="D236" s="71" t="s">
        <v>1985</v>
      </c>
      <c r="E236" s="74">
        <v>41559</v>
      </c>
      <c r="F236" s="71">
        <v>8101881001</v>
      </c>
      <c r="G236" s="75" t="s">
        <v>1986</v>
      </c>
    </row>
    <row r="237" spans="2:7">
      <c r="B237" s="76" t="s">
        <v>2336</v>
      </c>
      <c r="C237" s="76" t="s">
        <v>53</v>
      </c>
      <c r="D237" s="76" t="s">
        <v>2337</v>
      </c>
      <c r="E237" s="74">
        <v>41560</v>
      </c>
      <c r="F237" s="76">
        <v>8167921052</v>
      </c>
      <c r="G237" s="77" t="s">
        <v>1983</v>
      </c>
    </row>
    <row r="238" spans="2:7">
      <c r="B238" s="71" t="s">
        <v>2338</v>
      </c>
      <c r="C238" s="71" t="s">
        <v>162</v>
      </c>
      <c r="D238" s="71" t="s">
        <v>2045</v>
      </c>
      <c r="E238" s="74">
        <v>41562</v>
      </c>
      <c r="F238" s="71">
        <v>7069334789</v>
      </c>
      <c r="G238" s="75" t="s">
        <v>2339</v>
      </c>
    </row>
    <row r="239" spans="2:7">
      <c r="B239" s="76" t="s">
        <v>2340</v>
      </c>
      <c r="C239" s="76" t="s">
        <v>1962</v>
      </c>
      <c r="D239" s="76" t="s">
        <v>2334</v>
      </c>
      <c r="E239" s="74">
        <v>41562</v>
      </c>
      <c r="F239" s="76">
        <v>7033101369</v>
      </c>
      <c r="G239" s="77" t="s">
        <v>1964</v>
      </c>
    </row>
    <row r="240" spans="2:7">
      <c r="B240" s="76" t="s">
        <v>2341</v>
      </c>
      <c r="C240" s="76" t="s">
        <v>33</v>
      </c>
      <c r="D240" s="76" t="s">
        <v>2342</v>
      </c>
      <c r="E240" s="74">
        <v>42292</v>
      </c>
      <c r="F240" s="76">
        <v>8034045535</v>
      </c>
      <c r="G240" s="77" t="s">
        <v>12</v>
      </c>
    </row>
    <row r="241" spans="2:7">
      <c r="B241" s="71" t="s">
        <v>2343</v>
      </c>
      <c r="C241" s="71" t="s">
        <v>75</v>
      </c>
      <c r="D241" s="71" t="s">
        <v>2286</v>
      </c>
      <c r="E241" s="74">
        <v>41563</v>
      </c>
      <c r="F241" s="71">
        <v>8165233705</v>
      </c>
      <c r="G241" s="75" t="s">
        <v>1956</v>
      </c>
    </row>
    <row r="242" spans="2:7">
      <c r="B242" s="71" t="s">
        <v>2344</v>
      </c>
      <c r="C242" s="71" t="s">
        <v>1962</v>
      </c>
      <c r="D242" s="71" t="s">
        <v>1985</v>
      </c>
      <c r="E242" s="74">
        <v>41568</v>
      </c>
      <c r="F242" s="71">
        <v>7068372066</v>
      </c>
      <c r="G242" s="75" t="s">
        <v>1964</v>
      </c>
    </row>
    <row r="243" spans="2:7">
      <c r="B243" s="71" t="s">
        <v>2345</v>
      </c>
      <c r="C243" s="71" t="s">
        <v>1962</v>
      </c>
      <c r="D243" s="71" t="s">
        <v>2346</v>
      </c>
      <c r="E243" s="74">
        <v>42298</v>
      </c>
      <c r="F243" s="71">
        <v>7062934040</v>
      </c>
      <c r="G243" s="75" t="s">
        <v>12</v>
      </c>
    </row>
    <row r="244" spans="2:7">
      <c r="B244" s="76" t="s">
        <v>2347</v>
      </c>
      <c r="C244" s="76" t="s">
        <v>144</v>
      </c>
      <c r="D244" s="71" t="s">
        <v>2143</v>
      </c>
      <c r="E244" s="74">
        <v>41569</v>
      </c>
      <c r="F244" s="76">
        <v>8130610957</v>
      </c>
      <c r="G244" s="77" t="s">
        <v>1956</v>
      </c>
    </row>
    <row r="245" spans="2:7">
      <c r="B245" s="71" t="s">
        <v>2348</v>
      </c>
      <c r="C245" s="71" t="s">
        <v>158</v>
      </c>
      <c r="D245" s="71" t="s">
        <v>2349</v>
      </c>
      <c r="E245" s="74">
        <v>41569</v>
      </c>
      <c r="F245" s="71">
        <v>8132808685</v>
      </c>
      <c r="G245" s="75" t="s">
        <v>1983</v>
      </c>
    </row>
    <row r="246" spans="2:7">
      <c r="B246" s="71" t="s">
        <v>2350</v>
      </c>
      <c r="C246" s="71" t="s">
        <v>96</v>
      </c>
      <c r="D246" s="71" t="s">
        <v>1985</v>
      </c>
      <c r="E246" s="74">
        <v>41570</v>
      </c>
      <c r="F246" s="71">
        <v>8136499768</v>
      </c>
      <c r="G246" s="75" t="s">
        <v>1964</v>
      </c>
    </row>
    <row r="247" spans="2:7">
      <c r="B247" s="71" t="s">
        <v>2351</v>
      </c>
      <c r="C247" s="71" t="s">
        <v>158</v>
      </c>
      <c r="D247" s="71" t="s">
        <v>2007</v>
      </c>
      <c r="E247" s="74">
        <v>41571</v>
      </c>
      <c r="F247" s="71">
        <v>8064540969</v>
      </c>
      <c r="G247" s="75" t="s">
        <v>1956</v>
      </c>
    </row>
    <row r="248" spans="2:7">
      <c r="B248" s="76" t="s">
        <v>2352</v>
      </c>
      <c r="C248" s="76" t="s">
        <v>29</v>
      </c>
      <c r="D248" s="71" t="s">
        <v>2353</v>
      </c>
      <c r="E248" s="74">
        <v>41571</v>
      </c>
      <c r="F248" s="76">
        <v>8093683481</v>
      </c>
      <c r="G248" s="77" t="s">
        <v>1964</v>
      </c>
    </row>
    <row r="249" spans="2:7">
      <c r="B249" s="76" t="s">
        <v>2354</v>
      </c>
      <c r="C249" s="76" t="s">
        <v>118</v>
      </c>
      <c r="D249" s="71"/>
      <c r="E249" s="74">
        <v>41938</v>
      </c>
      <c r="F249" s="76">
        <v>8096706456</v>
      </c>
      <c r="G249" s="75" t="s">
        <v>12</v>
      </c>
    </row>
    <row r="250" spans="2:7">
      <c r="B250" s="76" t="s">
        <v>2355</v>
      </c>
      <c r="C250" s="76" t="s">
        <v>218</v>
      </c>
      <c r="D250" s="71" t="s">
        <v>2356</v>
      </c>
      <c r="E250" s="74">
        <v>41940</v>
      </c>
      <c r="F250" s="76">
        <v>8064951329</v>
      </c>
      <c r="G250" s="75" t="s">
        <v>9</v>
      </c>
    </row>
    <row r="251" spans="2:7">
      <c r="B251" s="71" t="s">
        <v>2357</v>
      </c>
      <c r="C251" s="71" t="s">
        <v>29</v>
      </c>
      <c r="D251" s="71" t="s">
        <v>2037</v>
      </c>
      <c r="E251" s="74">
        <v>41577</v>
      </c>
      <c r="F251" s="71">
        <v>7032308935</v>
      </c>
      <c r="G251" s="75" t="s">
        <v>1956</v>
      </c>
    </row>
    <row r="252" spans="2:7">
      <c r="B252" s="71" t="s">
        <v>2358</v>
      </c>
      <c r="C252" s="71" t="s">
        <v>77</v>
      </c>
      <c r="D252" s="71" t="s">
        <v>2359</v>
      </c>
      <c r="E252" s="74">
        <v>42307</v>
      </c>
      <c r="F252" s="71">
        <v>8067164723</v>
      </c>
      <c r="G252" s="75" t="s">
        <v>12</v>
      </c>
    </row>
    <row r="253" spans="2:7">
      <c r="B253" s="71" t="s">
        <v>2360</v>
      </c>
      <c r="C253" s="71" t="s">
        <v>57</v>
      </c>
      <c r="D253" s="71" t="s">
        <v>2222</v>
      </c>
      <c r="E253" s="74">
        <v>42309</v>
      </c>
      <c r="F253" s="71">
        <v>8068290060</v>
      </c>
      <c r="G253" s="75" t="s">
        <v>12</v>
      </c>
    </row>
    <row r="254" spans="2:7">
      <c r="B254" s="71" t="s">
        <v>2361</v>
      </c>
      <c r="C254" s="71" t="s">
        <v>31</v>
      </c>
      <c r="D254" s="71" t="s">
        <v>2024</v>
      </c>
      <c r="E254" s="74">
        <v>41582</v>
      </c>
      <c r="F254" s="71">
        <v>8136156105</v>
      </c>
      <c r="G254" s="75" t="s">
        <v>1964</v>
      </c>
    </row>
    <row r="255" spans="2:7">
      <c r="B255" s="71" t="s">
        <v>2362</v>
      </c>
      <c r="C255" s="71" t="s">
        <v>10</v>
      </c>
      <c r="D255" s="71" t="s">
        <v>2039</v>
      </c>
      <c r="E255" s="74">
        <v>41583</v>
      </c>
      <c r="F255" s="71">
        <v>7033540876</v>
      </c>
      <c r="G255" s="75" t="s">
        <v>1983</v>
      </c>
    </row>
    <row r="256" spans="2:7">
      <c r="B256" s="71" t="s">
        <v>2363</v>
      </c>
      <c r="C256" s="71" t="s">
        <v>118</v>
      </c>
      <c r="D256" s="71" t="s">
        <v>2229</v>
      </c>
      <c r="E256" s="74">
        <v>41585</v>
      </c>
      <c r="F256" s="71">
        <v>7064337147</v>
      </c>
      <c r="G256" s="75" t="s">
        <v>1964</v>
      </c>
    </row>
    <row r="257" spans="2:7">
      <c r="B257" s="76" t="s">
        <v>2364</v>
      </c>
      <c r="C257" s="76" t="s">
        <v>158</v>
      </c>
      <c r="D257" s="71" t="s">
        <v>1999</v>
      </c>
      <c r="E257" s="74">
        <v>41587</v>
      </c>
      <c r="F257" s="76">
        <v>8169472549</v>
      </c>
      <c r="G257" s="77" t="s">
        <v>898</v>
      </c>
    </row>
    <row r="258" spans="2:7">
      <c r="B258" s="76" t="s">
        <v>2365</v>
      </c>
      <c r="C258" s="76"/>
      <c r="D258" s="71"/>
      <c r="E258" s="74">
        <v>41592</v>
      </c>
      <c r="F258" s="76">
        <v>8135627361</v>
      </c>
      <c r="G258" s="77" t="s">
        <v>12</v>
      </c>
    </row>
    <row r="259" spans="2:7">
      <c r="B259" s="76" t="s">
        <v>2366</v>
      </c>
      <c r="C259" s="76" t="s">
        <v>64</v>
      </c>
      <c r="D259" s="71"/>
      <c r="E259" s="74">
        <v>41596</v>
      </c>
      <c r="F259" s="76">
        <v>7066057255</v>
      </c>
      <c r="G259" s="77" t="s">
        <v>1992</v>
      </c>
    </row>
    <row r="260" spans="2:7">
      <c r="B260" s="71" t="s">
        <v>2367</v>
      </c>
      <c r="C260" s="71" t="s">
        <v>31</v>
      </c>
      <c r="D260" s="71" t="s">
        <v>2045</v>
      </c>
      <c r="E260" s="74">
        <v>41596</v>
      </c>
      <c r="F260" s="71">
        <v>7068444309</v>
      </c>
      <c r="G260" s="75" t="s">
        <v>1983</v>
      </c>
    </row>
    <row r="261" spans="2:7">
      <c r="B261" s="76" t="s">
        <v>2368</v>
      </c>
      <c r="C261" s="76" t="s">
        <v>45</v>
      </c>
      <c r="D261" s="71" t="s">
        <v>2369</v>
      </c>
      <c r="E261" s="74">
        <v>41962</v>
      </c>
      <c r="F261" s="76">
        <v>7030412234</v>
      </c>
      <c r="G261" s="75" t="s">
        <v>12</v>
      </c>
    </row>
    <row r="262" spans="2:7">
      <c r="B262" s="71" t="s">
        <v>2370</v>
      </c>
      <c r="C262" s="71" t="s">
        <v>33</v>
      </c>
      <c r="D262" s="71" t="s">
        <v>2024</v>
      </c>
      <c r="E262" s="74">
        <v>41598</v>
      </c>
      <c r="F262" s="71">
        <v>7060803405</v>
      </c>
      <c r="G262" s="75" t="s">
        <v>1956</v>
      </c>
    </row>
    <row r="263" spans="2:7">
      <c r="B263" s="71" t="s">
        <v>2371</v>
      </c>
      <c r="C263" s="71" t="s">
        <v>162</v>
      </c>
      <c r="D263" s="71" t="s">
        <v>2372</v>
      </c>
      <c r="E263" s="74">
        <v>41598</v>
      </c>
      <c r="F263" s="71">
        <v>8121463899</v>
      </c>
      <c r="G263" s="75" t="s">
        <v>1976</v>
      </c>
    </row>
    <row r="264" spans="2:7">
      <c r="B264" s="71" t="s">
        <v>2373</v>
      </c>
      <c r="C264" s="71" t="s">
        <v>2374</v>
      </c>
      <c r="D264" s="71" t="s">
        <v>2375</v>
      </c>
      <c r="E264" s="74">
        <v>41599</v>
      </c>
      <c r="F264" s="71"/>
      <c r="G264" s="75" t="s">
        <v>1976</v>
      </c>
    </row>
    <row r="265" spans="2:7">
      <c r="B265" s="71" t="s">
        <v>2376</v>
      </c>
      <c r="C265" s="71" t="s">
        <v>118</v>
      </c>
      <c r="D265" s="71" t="s">
        <v>2377</v>
      </c>
      <c r="E265" s="74">
        <v>41601</v>
      </c>
      <c r="F265" s="71">
        <v>8033469989</v>
      </c>
      <c r="G265" s="75" t="s">
        <v>1983</v>
      </c>
    </row>
    <row r="266" spans="2:7">
      <c r="B266" s="71" t="s">
        <v>2378</v>
      </c>
      <c r="C266" s="71" t="s">
        <v>1962</v>
      </c>
      <c r="D266" s="71" t="s">
        <v>2379</v>
      </c>
      <c r="E266" s="74">
        <v>42335</v>
      </c>
      <c r="F266" s="71">
        <v>7066516324</v>
      </c>
      <c r="G266" s="75" t="s">
        <v>9</v>
      </c>
    </row>
    <row r="267" spans="2:7">
      <c r="B267" s="71" t="s">
        <v>2380</v>
      </c>
      <c r="C267" s="71" t="s">
        <v>75</v>
      </c>
      <c r="D267" s="71" t="s">
        <v>2381</v>
      </c>
      <c r="E267" s="74">
        <v>41607</v>
      </c>
      <c r="F267" s="71">
        <v>7062448977</v>
      </c>
      <c r="G267" s="75" t="s">
        <v>1964</v>
      </c>
    </row>
    <row r="268" spans="2:7">
      <c r="B268" s="71" t="s">
        <v>2382</v>
      </c>
      <c r="C268" s="71" t="s">
        <v>10</v>
      </c>
      <c r="D268" s="71" t="s">
        <v>2383</v>
      </c>
      <c r="E268" s="74">
        <v>41610</v>
      </c>
      <c r="F268" s="71">
        <v>8136212882</v>
      </c>
      <c r="G268" s="75" t="s">
        <v>2090</v>
      </c>
    </row>
    <row r="269" spans="2:7">
      <c r="B269" s="71" t="s">
        <v>2384</v>
      </c>
      <c r="C269" s="71" t="s">
        <v>33</v>
      </c>
      <c r="D269" s="71"/>
      <c r="E269" s="74">
        <v>41610</v>
      </c>
      <c r="F269" s="71"/>
      <c r="G269" s="75" t="s">
        <v>1956</v>
      </c>
    </row>
    <row r="270" spans="2:7">
      <c r="B270" s="71" t="s">
        <v>2385</v>
      </c>
      <c r="C270" s="71" t="s">
        <v>118</v>
      </c>
      <c r="D270" s="71" t="s">
        <v>2386</v>
      </c>
      <c r="E270" s="74">
        <v>41612</v>
      </c>
      <c r="F270" s="71">
        <v>8067752564</v>
      </c>
      <c r="G270" s="75" t="s">
        <v>1956</v>
      </c>
    </row>
    <row r="271" spans="2:7">
      <c r="B271" s="71" t="s">
        <v>2387</v>
      </c>
      <c r="C271" s="71" t="s">
        <v>31</v>
      </c>
      <c r="D271" s="71" t="s">
        <v>2045</v>
      </c>
      <c r="E271" s="74">
        <v>41613</v>
      </c>
      <c r="F271" s="71">
        <v>8038054379</v>
      </c>
      <c r="G271" s="75" t="s">
        <v>1976</v>
      </c>
    </row>
    <row r="272" spans="2:7">
      <c r="B272" s="71" t="s">
        <v>2388</v>
      </c>
      <c r="C272" s="71" t="s">
        <v>16</v>
      </c>
      <c r="D272" s="71" t="s">
        <v>2389</v>
      </c>
      <c r="E272" s="74">
        <v>41613</v>
      </c>
      <c r="F272" s="71">
        <v>7038175499</v>
      </c>
      <c r="G272" s="75" t="s">
        <v>1964</v>
      </c>
    </row>
    <row r="273" spans="2:7">
      <c r="B273" s="76" t="s">
        <v>2390</v>
      </c>
      <c r="C273" s="76" t="s">
        <v>158</v>
      </c>
      <c r="D273" s="71"/>
      <c r="E273" s="74">
        <v>41981</v>
      </c>
      <c r="F273" s="76">
        <v>8030811931</v>
      </c>
      <c r="G273" s="75" t="s">
        <v>12</v>
      </c>
    </row>
    <row r="274" spans="2:7">
      <c r="B274" s="71" t="s">
        <v>2391</v>
      </c>
      <c r="C274" s="71" t="s">
        <v>113</v>
      </c>
      <c r="D274" s="71"/>
      <c r="E274" s="74">
        <v>41616</v>
      </c>
      <c r="F274" s="71">
        <v>8036288238</v>
      </c>
      <c r="G274" s="75" t="s">
        <v>2090</v>
      </c>
    </row>
    <row r="275" spans="2:7">
      <c r="B275" s="71" t="s">
        <v>2392</v>
      </c>
      <c r="C275" s="71" t="s">
        <v>10</v>
      </c>
      <c r="D275" s="71" t="s">
        <v>2393</v>
      </c>
      <c r="E275" s="74">
        <v>41617</v>
      </c>
      <c r="F275" s="71">
        <v>8169725321</v>
      </c>
      <c r="G275" s="75" t="s">
        <v>1964</v>
      </c>
    </row>
    <row r="276" spans="2:7">
      <c r="B276" s="71" t="s">
        <v>2394</v>
      </c>
      <c r="C276" s="71" t="s">
        <v>49</v>
      </c>
      <c r="D276" s="71" t="s">
        <v>2395</v>
      </c>
      <c r="E276" s="74">
        <v>41618</v>
      </c>
      <c r="F276" s="71">
        <v>7086730412</v>
      </c>
      <c r="G276" s="75" t="s">
        <v>1986</v>
      </c>
    </row>
    <row r="277" spans="2:7">
      <c r="B277" s="76" t="s">
        <v>2396</v>
      </c>
      <c r="C277" s="76" t="s">
        <v>77</v>
      </c>
      <c r="D277" s="76" t="s">
        <v>2286</v>
      </c>
      <c r="E277" s="74">
        <v>41620</v>
      </c>
      <c r="F277" s="76">
        <v>8181116576</v>
      </c>
      <c r="G277" s="77" t="s">
        <v>1983</v>
      </c>
    </row>
    <row r="278" spans="2:7">
      <c r="B278" s="71" t="s">
        <v>2397</v>
      </c>
      <c r="C278" s="71" t="s">
        <v>45</v>
      </c>
      <c r="D278" s="71" t="s">
        <v>2398</v>
      </c>
      <c r="E278" s="74">
        <v>41620</v>
      </c>
      <c r="F278" s="71">
        <v>7067641775</v>
      </c>
      <c r="G278" s="75" t="s">
        <v>1983</v>
      </c>
    </row>
    <row r="279" spans="2:7">
      <c r="B279" s="71" t="s">
        <v>2399</v>
      </c>
      <c r="C279" s="71" t="s">
        <v>2106</v>
      </c>
      <c r="D279" s="71" t="s">
        <v>1985</v>
      </c>
      <c r="E279" s="74">
        <v>41622</v>
      </c>
      <c r="F279" s="71">
        <v>7038328624</v>
      </c>
      <c r="G279" s="75" t="s">
        <v>1964</v>
      </c>
    </row>
    <row r="280" spans="2:7">
      <c r="B280" s="76" t="s">
        <v>2400</v>
      </c>
      <c r="C280" s="76" t="s">
        <v>38</v>
      </c>
      <c r="D280" s="71" t="s">
        <v>1985</v>
      </c>
      <c r="E280" s="74">
        <v>41623</v>
      </c>
      <c r="F280" s="76">
        <v>8179007915</v>
      </c>
      <c r="G280" s="77" t="s">
        <v>1964</v>
      </c>
    </row>
    <row r="281" spans="2:7">
      <c r="B281" s="76" t="s">
        <v>2401</v>
      </c>
      <c r="C281" s="76" t="s">
        <v>43</v>
      </c>
      <c r="D281" s="76" t="s">
        <v>2402</v>
      </c>
      <c r="E281" s="74">
        <v>41625</v>
      </c>
      <c r="F281" s="76">
        <v>8134188667</v>
      </c>
      <c r="G281" s="77" t="s">
        <v>1983</v>
      </c>
    </row>
    <row r="282" spans="2:7">
      <c r="B282" s="76" t="s">
        <v>2403</v>
      </c>
      <c r="C282" s="76" t="s">
        <v>62</v>
      </c>
      <c r="D282" s="71" t="s">
        <v>2404</v>
      </c>
      <c r="E282" s="74">
        <v>41627</v>
      </c>
      <c r="F282" s="76">
        <v>7069120910</v>
      </c>
      <c r="G282" s="77" t="s">
        <v>1956</v>
      </c>
    </row>
    <row r="283" spans="2:7">
      <c r="B283" s="76" t="s">
        <v>2405</v>
      </c>
      <c r="C283" s="76" t="s">
        <v>31</v>
      </c>
      <c r="D283" s="76" t="s">
        <v>2149</v>
      </c>
      <c r="E283" s="74">
        <v>41628</v>
      </c>
      <c r="F283" s="76">
        <v>8068387381</v>
      </c>
      <c r="G283" s="77" t="s">
        <v>1956</v>
      </c>
    </row>
    <row r="284" spans="2:7">
      <c r="B284" s="76" t="s">
        <v>2406</v>
      </c>
      <c r="C284" s="76" t="s">
        <v>2145</v>
      </c>
      <c r="D284" s="76" t="s">
        <v>2407</v>
      </c>
      <c r="E284" s="74">
        <v>42358</v>
      </c>
      <c r="F284" s="76">
        <v>8132388687</v>
      </c>
      <c r="G284" s="77" t="s">
        <v>12</v>
      </c>
    </row>
    <row r="285" spans="2:7">
      <c r="B285" s="76" t="s">
        <v>2408</v>
      </c>
      <c r="C285" s="76" t="s">
        <v>2120</v>
      </c>
      <c r="D285" s="71" t="s">
        <v>2409</v>
      </c>
      <c r="E285" s="74">
        <v>41994</v>
      </c>
      <c r="F285" s="76">
        <v>8068551731</v>
      </c>
      <c r="G285" s="75" t="s">
        <v>12</v>
      </c>
    </row>
    <row r="286" spans="2:7">
      <c r="B286" s="71" t="s">
        <v>2410</v>
      </c>
      <c r="C286" s="71" t="s">
        <v>16</v>
      </c>
      <c r="D286" s="71" t="s">
        <v>2185</v>
      </c>
      <c r="E286" s="74">
        <v>41630</v>
      </c>
      <c r="F286" s="71">
        <v>8062903582</v>
      </c>
      <c r="G286" s="75" t="s">
        <v>1964</v>
      </c>
    </row>
    <row r="287" spans="2:7">
      <c r="B287" s="71" t="s">
        <v>2411</v>
      </c>
      <c r="C287" s="71" t="s">
        <v>64</v>
      </c>
      <c r="D287" s="71" t="s">
        <v>2140</v>
      </c>
      <c r="E287" s="74">
        <v>41632</v>
      </c>
      <c r="F287" s="71">
        <v>7061030582</v>
      </c>
      <c r="G287" s="75" t="s">
        <v>2412</v>
      </c>
    </row>
    <row r="288" spans="2:7">
      <c r="B288" s="71" t="s">
        <v>2413</v>
      </c>
      <c r="C288" s="71" t="s">
        <v>2120</v>
      </c>
      <c r="D288" s="71" t="s">
        <v>1985</v>
      </c>
      <c r="E288" s="74">
        <v>41633</v>
      </c>
      <c r="F288" s="71">
        <v>8101802062</v>
      </c>
      <c r="G288" s="75" t="s">
        <v>1964</v>
      </c>
    </row>
    <row r="289" spans="2:7">
      <c r="B289" s="76" t="s">
        <v>2414</v>
      </c>
      <c r="C289" s="76" t="s">
        <v>118</v>
      </c>
      <c r="D289" s="71" t="s">
        <v>2415</v>
      </c>
      <c r="E289" s="74">
        <v>42001</v>
      </c>
      <c r="F289" s="76">
        <v>7038877586</v>
      </c>
      <c r="G289" s="75" t="s">
        <v>12</v>
      </c>
    </row>
    <row r="290" spans="2:7">
      <c r="B290" s="71" t="s">
        <v>2416</v>
      </c>
      <c r="C290" s="71" t="s">
        <v>62</v>
      </c>
      <c r="D290" s="71" t="s">
        <v>2233</v>
      </c>
      <c r="E290" s="74">
        <v>41638</v>
      </c>
      <c r="F290" s="71">
        <v>8085113300</v>
      </c>
      <c r="G290" s="75" t="s">
        <v>1983</v>
      </c>
    </row>
    <row r="291" spans="2:7">
      <c r="B291" s="71" t="s">
        <v>2417</v>
      </c>
      <c r="C291" s="71" t="s">
        <v>77</v>
      </c>
      <c r="D291" s="71" t="s">
        <v>2418</v>
      </c>
      <c r="E291" s="74">
        <v>41639</v>
      </c>
      <c r="F291" s="71">
        <v>7065865141</v>
      </c>
      <c r="G291" s="75" t="s">
        <v>1976</v>
      </c>
    </row>
    <row r="292" spans="2:7">
      <c r="B292" s="76" t="s">
        <v>2419</v>
      </c>
      <c r="C292" s="76" t="s">
        <v>45</v>
      </c>
      <c r="D292" s="71"/>
      <c r="E292" s="71"/>
      <c r="F292" s="76">
        <v>8132308576</v>
      </c>
      <c r="G292" s="75" t="s">
        <v>12</v>
      </c>
    </row>
    <row r="293" spans="2:7">
      <c r="B293" s="76" t="s">
        <v>2420</v>
      </c>
      <c r="C293" s="76" t="s">
        <v>1962</v>
      </c>
      <c r="D293" s="71"/>
      <c r="E293" s="71"/>
      <c r="F293" s="76">
        <v>8186172096</v>
      </c>
      <c r="G293" s="75" t="s">
        <v>12</v>
      </c>
    </row>
    <row r="294" spans="2:7">
      <c r="B294" s="76" t="s">
        <v>2421</v>
      </c>
      <c r="C294" s="76" t="s">
        <v>43</v>
      </c>
      <c r="D294" s="71" t="s">
        <v>2422</v>
      </c>
      <c r="E294" s="71"/>
      <c r="F294" s="76">
        <v>7033986930</v>
      </c>
      <c r="G294" s="75" t="s">
        <v>9</v>
      </c>
    </row>
  </sheetData>
  <mergeCells count="1">
    <mergeCell ref="B11:G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49"/>
  <sheetViews>
    <sheetView topLeftCell="A202" workbookViewId="0">
      <selection activeCell="F10" sqref="F10:F214"/>
    </sheetView>
  </sheetViews>
  <sheetFormatPr defaultColWidth="9" defaultRowHeight="15"/>
  <cols>
    <col min="1" max="1" width="1.5703125" customWidth="1"/>
    <col min="2" max="2" width="5.42578125" style="45" customWidth="1"/>
    <col min="3" max="3" width="35" customWidth="1"/>
    <col min="4" max="4" width="4.42578125" customWidth="1"/>
    <col min="5" max="5" width="6.140625" customWidth="1"/>
    <col min="6" max="6" width="15.7109375" customWidth="1"/>
    <col min="7" max="7" width="8" customWidth="1"/>
    <col min="8" max="8" width="23.85546875" customWidth="1"/>
    <col min="9" max="256" width="8.5703125" customWidth="1"/>
  </cols>
  <sheetData>
    <row r="1" spans="1:9" ht="15.75">
      <c r="A1" s="42"/>
      <c r="B1" s="43"/>
      <c r="D1" s="44" t="s">
        <v>0</v>
      </c>
      <c r="E1" s="42"/>
    </row>
    <row r="2" spans="1:9" ht="15.75">
      <c r="A2" s="42"/>
      <c r="B2" s="43"/>
      <c r="D2" s="44" t="s">
        <v>1</v>
      </c>
      <c r="E2" s="42"/>
    </row>
    <row r="3" spans="1:9" ht="15.75">
      <c r="A3" s="42"/>
      <c r="D3" s="46" t="s">
        <v>2</v>
      </c>
      <c r="E3" s="42"/>
    </row>
    <row r="4" spans="1:9" ht="15.75">
      <c r="A4" s="42"/>
      <c r="D4" s="46"/>
      <c r="E4" s="42"/>
    </row>
    <row r="5" spans="1:9">
      <c r="C5" s="60" t="s">
        <v>549</v>
      </c>
      <c r="D5" s="61"/>
      <c r="E5" s="61"/>
      <c r="F5" s="61"/>
      <c r="G5" s="61"/>
      <c r="H5" s="61"/>
    </row>
    <row r="6" spans="1:9" ht="15.75">
      <c r="C6" s="62" t="s">
        <v>550</v>
      </c>
      <c r="D6" s="61"/>
      <c r="E6" s="61"/>
      <c r="F6" s="61"/>
      <c r="G6" s="61"/>
      <c r="H6" s="61"/>
    </row>
    <row r="7" spans="1:9" ht="23.25">
      <c r="C7" s="63"/>
    </row>
    <row r="9" spans="1:9" s="78" customFormat="1" ht="25.5">
      <c r="B9" s="79" t="s">
        <v>3</v>
      </c>
      <c r="C9" s="80" t="s">
        <v>4</v>
      </c>
      <c r="D9" s="80" t="s">
        <v>6</v>
      </c>
      <c r="E9" s="80" t="s">
        <v>7</v>
      </c>
      <c r="F9" s="80" t="s">
        <v>304</v>
      </c>
      <c r="G9" s="80" t="s">
        <v>5</v>
      </c>
      <c r="H9" s="80" t="s">
        <v>545</v>
      </c>
    </row>
    <row r="10" spans="1:9" s="81" customFormat="1">
      <c r="B10" s="82">
        <v>1</v>
      </c>
      <c r="C10" s="83" t="s">
        <v>15</v>
      </c>
      <c r="D10" s="83" t="s">
        <v>9</v>
      </c>
      <c r="E10" s="83" t="s">
        <v>16</v>
      </c>
      <c r="F10" s="83">
        <v>8062963463</v>
      </c>
      <c r="G10" s="84">
        <v>42370</v>
      </c>
      <c r="H10" s="84" t="s">
        <v>277</v>
      </c>
    </row>
    <row r="11" spans="1:9" s="81" customFormat="1">
      <c r="B11" s="82">
        <v>2</v>
      </c>
      <c r="C11" s="83" t="s">
        <v>157</v>
      </c>
      <c r="D11" s="83" t="s">
        <v>12</v>
      </c>
      <c r="E11" s="83" t="s">
        <v>158</v>
      </c>
      <c r="F11" s="83">
        <v>7033735948</v>
      </c>
      <c r="G11" s="84">
        <v>42372</v>
      </c>
      <c r="H11" s="84" t="s">
        <v>278</v>
      </c>
    </row>
    <row r="12" spans="1:9">
      <c r="B12" s="85">
        <v>3</v>
      </c>
      <c r="C12" s="86" t="s">
        <v>173</v>
      </c>
      <c r="D12" s="86" t="s">
        <v>12</v>
      </c>
      <c r="E12" s="86" t="s">
        <v>53</v>
      </c>
      <c r="F12" s="86">
        <v>7033047600</v>
      </c>
      <c r="G12" s="87">
        <v>42372</v>
      </c>
      <c r="H12" s="87"/>
      <c r="I12" s="88"/>
    </row>
    <row r="13" spans="1:9">
      <c r="B13" s="85">
        <v>4</v>
      </c>
      <c r="C13" s="86" t="s">
        <v>136</v>
      </c>
      <c r="D13" s="86" t="s">
        <v>12</v>
      </c>
      <c r="E13" s="86" t="s">
        <v>29</v>
      </c>
      <c r="F13" s="86">
        <v>8137360157</v>
      </c>
      <c r="G13" s="87">
        <v>42374</v>
      </c>
      <c r="H13" s="87"/>
      <c r="I13" s="89"/>
    </row>
    <row r="14" spans="1:9">
      <c r="B14" s="85">
        <v>5</v>
      </c>
      <c r="C14" s="86" t="s">
        <v>131</v>
      </c>
      <c r="D14" s="86" t="s">
        <v>9</v>
      </c>
      <c r="E14" s="86" t="s">
        <v>132</v>
      </c>
      <c r="F14" s="86">
        <v>7032819222</v>
      </c>
      <c r="G14" s="87">
        <v>42382</v>
      </c>
      <c r="H14" s="87"/>
      <c r="I14" s="89"/>
    </row>
    <row r="15" spans="1:9">
      <c r="B15" s="85">
        <v>6</v>
      </c>
      <c r="C15" s="86" t="s">
        <v>84</v>
      </c>
      <c r="D15" s="86" t="s">
        <v>12</v>
      </c>
      <c r="E15" s="86" t="s">
        <v>27</v>
      </c>
      <c r="F15" s="86">
        <v>8135551903</v>
      </c>
      <c r="G15" s="87">
        <v>42384</v>
      </c>
      <c r="H15" s="87"/>
      <c r="I15" s="89"/>
    </row>
    <row r="16" spans="1:9">
      <c r="B16" s="85">
        <v>7</v>
      </c>
      <c r="C16" s="86" t="s">
        <v>187</v>
      </c>
      <c r="D16" s="86" t="s">
        <v>12</v>
      </c>
      <c r="E16" s="86" t="s">
        <v>62</v>
      </c>
      <c r="F16" s="86">
        <v>8163555438</v>
      </c>
      <c r="G16" s="87">
        <v>42384</v>
      </c>
      <c r="H16" s="87"/>
      <c r="I16" s="89"/>
    </row>
    <row r="17" spans="2:9">
      <c r="B17" s="85">
        <v>8</v>
      </c>
      <c r="C17" s="86" t="s">
        <v>122</v>
      </c>
      <c r="D17" s="86" t="s">
        <v>9</v>
      </c>
      <c r="E17" s="86" t="s">
        <v>57</v>
      </c>
      <c r="F17" s="86">
        <v>8062916293</v>
      </c>
      <c r="G17" s="87">
        <v>42388</v>
      </c>
      <c r="H17" s="87"/>
      <c r="I17" s="89"/>
    </row>
    <row r="18" spans="2:9">
      <c r="B18" s="85">
        <v>9</v>
      </c>
      <c r="C18" s="86" t="s">
        <v>30</v>
      </c>
      <c r="D18" s="86" t="s">
        <v>12</v>
      </c>
      <c r="E18" s="86" t="s">
        <v>31</v>
      </c>
      <c r="F18" s="86">
        <v>7030418663</v>
      </c>
      <c r="G18" s="87">
        <v>42390</v>
      </c>
      <c r="H18" s="87"/>
      <c r="I18" s="89"/>
    </row>
    <row r="19" spans="2:9">
      <c r="B19" s="85">
        <v>10</v>
      </c>
      <c r="C19" s="86" t="s">
        <v>61</v>
      </c>
      <c r="D19" s="86" t="s">
        <v>12</v>
      </c>
      <c r="E19" s="86" t="s">
        <v>62</v>
      </c>
      <c r="F19" s="86">
        <v>8132930847</v>
      </c>
      <c r="G19" s="87">
        <v>42391</v>
      </c>
      <c r="H19" s="87"/>
      <c r="I19" s="89"/>
    </row>
    <row r="20" spans="2:9" s="81" customFormat="1">
      <c r="B20" s="82">
        <v>11</v>
      </c>
      <c r="C20" s="83" t="s">
        <v>50</v>
      </c>
      <c r="D20" s="83" t="s">
        <v>12</v>
      </c>
      <c r="E20" s="83" t="s">
        <v>27</v>
      </c>
      <c r="F20" s="83">
        <v>7062441414</v>
      </c>
      <c r="G20" s="84">
        <v>42396</v>
      </c>
      <c r="H20" s="84" t="s">
        <v>279</v>
      </c>
      <c r="I20" s="90"/>
    </row>
    <row r="21" spans="2:9">
      <c r="B21" s="85">
        <v>12</v>
      </c>
      <c r="C21" s="91" t="s">
        <v>204</v>
      </c>
      <c r="D21" s="86" t="s">
        <v>12</v>
      </c>
      <c r="E21" s="86" t="s">
        <v>23</v>
      </c>
      <c r="F21" s="91">
        <v>8136812258</v>
      </c>
      <c r="G21" s="92">
        <v>42397</v>
      </c>
      <c r="H21" s="92"/>
      <c r="I21" s="89"/>
    </row>
    <row r="22" spans="2:9">
      <c r="B22" s="85">
        <v>13</v>
      </c>
      <c r="C22" s="86" t="s">
        <v>60</v>
      </c>
      <c r="D22" s="86" t="s">
        <v>12</v>
      </c>
      <c r="E22" s="86"/>
      <c r="F22" s="86">
        <v>7063697174</v>
      </c>
      <c r="G22" s="87">
        <v>42400</v>
      </c>
      <c r="H22" s="87"/>
      <c r="I22" s="89"/>
    </row>
    <row r="23" spans="2:9">
      <c r="B23" s="85">
        <v>14</v>
      </c>
      <c r="C23" s="91" t="s">
        <v>232</v>
      </c>
      <c r="D23" s="91" t="s">
        <v>12</v>
      </c>
      <c r="E23" s="91" t="s">
        <v>29</v>
      </c>
      <c r="F23" s="91">
        <v>8162613753</v>
      </c>
      <c r="G23" s="92">
        <v>42400</v>
      </c>
      <c r="H23" s="92"/>
      <c r="I23" s="89"/>
    </row>
    <row r="24" spans="2:9">
      <c r="B24" s="85">
        <v>15</v>
      </c>
      <c r="C24" s="91" t="s">
        <v>237</v>
      </c>
      <c r="D24" s="91" t="s">
        <v>12</v>
      </c>
      <c r="E24" s="91" t="s">
        <v>43</v>
      </c>
      <c r="F24" s="91">
        <v>9090882993</v>
      </c>
      <c r="G24" s="92">
        <v>42400</v>
      </c>
      <c r="H24" s="92"/>
      <c r="I24" s="89"/>
    </row>
    <row r="25" spans="2:9">
      <c r="B25" s="85">
        <v>16</v>
      </c>
      <c r="C25" s="86" t="s">
        <v>47</v>
      </c>
      <c r="D25" s="86" t="s">
        <v>12</v>
      </c>
      <c r="E25" s="86" t="s">
        <v>10</v>
      </c>
      <c r="F25" s="86">
        <v>8183688518</v>
      </c>
      <c r="G25" s="87">
        <v>42403</v>
      </c>
      <c r="H25" s="87"/>
      <c r="I25" s="89"/>
    </row>
    <row r="26" spans="2:9" s="81" customFormat="1">
      <c r="B26" s="82">
        <v>17</v>
      </c>
      <c r="C26" s="83" t="s">
        <v>116</v>
      </c>
      <c r="D26" s="83" t="s">
        <v>9</v>
      </c>
      <c r="E26" s="83" t="s">
        <v>57</v>
      </c>
      <c r="F26" s="83">
        <v>8022562500</v>
      </c>
      <c r="G26" s="84">
        <v>42408</v>
      </c>
      <c r="H26" s="84" t="s">
        <v>282</v>
      </c>
      <c r="I26" s="90"/>
    </row>
    <row r="27" spans="2:9">
      <c r="B27" s="85">
        <v>18</v>
      </c>
      <c r="C27" s="86" t="s">
        <v>276</v>
      </c>
      <c r="D27" s="86" t="s">
        <v>9</v>
      </c>
      <c r="E27" s="86"/>
      <c r="F27" s="86">
        <v>7061977376</v>
      </c>
      <c r="G27" s="87">
        <v>42408</v>
      </c>
      <c r="H27" s="87"/>
      <c r="I27" s="89"/>
    </row>
    <row r="28" spans="2:9">
      <c r="B28" s="85">
        <v>19</v>
      </c>
      <c r="C28" s="86" t="s">
        <v>219</v>
      </c>
      <c r="D28" s="86" t="s">
        <v>9</v>
      </c>
      <c r="E28" s="86" t="s">
        <v>77</v>
      </c>
      <c r="F28" s="86">
        <v>8160388818</v>
      </c>
      <c r="G28" s="87">
        <v>42409</v>
      </c>
      <c r="H28" s="87"/>
      <c r="I28" s="89"/>
    </row>
    <row r="29" spans="2:9">
      <c r="B29" s="85">
        <v>20</v>
      </c>
      <c r="C29" s="86" t="s">
        <v>143</v>
      </c>
      <c r="D29" s="86" t="s">
        <v>12</v>
      </c>
      <c r="E29" s="86" t="s">
        <v>144</v>
      </c>
      <c r="F29" s="86">
        <v>8066906437</v>
      </c>
      <c r="G29" s="87">
        <v>42414</v>
      </c>
      <c r="H29" s="87"/>
      <c r="I29" s="89"/>
    </row>
    <row r="30" spans="2:9" s="81" customFormat="1">
      <c r="B30" s="82">
        <v>21</v>
      </c>
      <c r="C30" s="83" t="s">
        <v>178</v>
      </c>
      <c r="D30" s="83" t="s">
        <v>9</v>
      </c>
      <c r="E30" s="83" t="s">
        <v>158</v>
      </c>
      <c r="F30" s="83">
        <v>7064356235</v>
      </c>
      <c r="G30" s="84">
        <v>42414</v>
      </c>
      <c r="H30" s="84" t="s">
        <v>280</v>
      </c>
      <c r="I30" s="90"/>
    </row>
    <row r="31" spans="2:9">
      <c r="B31" s="85">
        <v>22</v>
      </c>
      <c r="C31" s="86" t="s">
        <v>63</v>
      </c>
      <c r="D31" s="86" t="s">
        <v>9</v>
      </c>
      <c r="E31" s="86" t="s">
        <v>64</v>
      </c>
      <c r="F31" s="86">
        <v>7038495334</v>
      </c>
      <c r="G31" s="87">
        <v>42415</v>
      </c>
      <c r="H31" s="87"/>
      <c r="I31" s="89"/>
    </row>
    <row r="32" spans="2:9">
      <c r="B32" s="85">
        <v>23</v>
      </c>
      <c r="C32" s="86" t="s">
        <v>181</v>
      </c>
      <c r="D32" s="86" t="s">
        <v>12</v>
      </c>
      <c r="E32" s="86" t="s">
        <v>162</v>
      </c>
      <c r="F32" s="86">
        <v>8136091134</v>
      </c>
      <c r="G32" s="87">
        <v>42417</v>
      </c>
      <c r="H32" s="87"/>
      <c r="I32" s="89"/>
    </row>
    <row r="33" spans="2:9">
      <c r="B33" s="85">
        <v>24</v>
      </c>
      <c r="C33" s="86" t="s">
        <v>32</v>
      </c>
      <c r="D33" s="86" t="s">
        <v>12</v>
      </c>
      <c r="E33" s="86" t="s">
        <v>33</v>
      </c>
      <c r="F33" s="86">
        <v>8063685885</v>
      </c>
      <c r="G33" s="87">
        <v>42418</v>
      </c>
      <c r="H33" s="87"/>
      <c r="I33" s="89"/>
    </row>
    <row r="34" spans="2:9">
      <c r="B34" s="85">
        <v>25</v>
      </c>
      <c r="C34" s="86" t="s">
        <v>52</v>
      </c>
      <c r="D34" s="86" t="s">
        <v>12</v>
      </c>
      <c r="E34" s="86" t="s">
        <v>53</v>
      </c>
      <c r="F34" s="86">
        <v>8168846238</v>
      </c>
      <c r="G34" s="87">
        <v>42418</v>
      </c>
      <c r="H34" s="87"/>
      <c r="I34" s="89"/>
    </row>
    <row r="35" spans="2:9">
      <c r="B35" s="85" t="s">
        <v>51</v>
      </c>
      <c r="C35" s="91" t="s">
        <v>249</v>
      </c>
      <c r="D35" s="91" t="s">
        <v>12</v>
      </c>
      <c r="E35" s="91" t="s">
        <v>49</v>
      </c>
      <c r="F35" s="91">
        <v>8053778371</v>
      </c>
      <c r="G35" s="92">
        <v>42418</v>
      </c>
      <c r="H35" s="92"/>
      <c r="I35" s="89"/>
    </row>
    <row r="36" spans="2:9">
      <c r="B36" s="85">
        <v>27</v>
      </c>
      <c r="C36" s="86" t="s">
        <v>139</v>
      </c>
      <c r="D36" s="86" t="s">
        <v>9</v>
      </c>
      <c r="E36" s="86" t="s">
        <v>29</v>
      </c>
      <c r="F36" s="86">
        <v>8067491716</v>
      </c>
      <c r="G36" s="87">
        <v>42419</v>
      </c>
      <c r="H36" s="87"/>
      <c r="I36" s="89"/>
    </row>
    <row r="37" spans="2:9">
      <c r="B37" s="85" t="s">
        <v>55</v>
      </c>
      <c r="C37" s="91" t="s">
        <v>274</v>
      </c>
      <c r="D37" s="91" t="s">
        <v>12</v>
      </c>
      <c r="E37" s="91" t="s">
        <v>27</v>
      </c>
      <c r="F37" s="91">
        <v>8137510556</v>
      </c>
      <c r="G37" s="92">
        <v>42422</v>
      </c>
      <c r="H37" s="92"/>
      <c r="I37" s="89"/>
    </row>
    <row r="38" spans="2:9" s="81" customFormat="1">
      <c r="B38" s="82">
        <v>29</v>
      </c>
      <c r="C38" s="83" t="s">
        <v>146</v>
      </c>
      <c r="D38" s="83" t="s">
        <v>12</v>
      </c>
      <c r="E38" s="83" t="s">
        <v>21</v>
      </c>
      <c r="F38" s="83">
        <v>8091507325</v>
      </c>
      <c r="G38" s="84">
        <v>42429</v>
      </c>
      <c r="H38" s="84" t="s">
        <v>281</v>
      </c>
      <c r="I38" s="90"/>
    </row>
    <row r="39" spans="2:9">
      <c r="B39" s="85" t="s">
        <v>59</v>
      </c>
      <c r="C39" s="86" t="s">
        <v>91</v>
      </c>
      <c r="D39" s="86" t="s">
        <v>12</v>
      </c>
      <c r="E39" s="86" t="s">
        <v>31</v>
      </c>
      <c r="F39" s="86">
        <v>8101802049</v>
      </c>
      <c r="G39" s="87">
        <v>42431</v>
      </c>
      <c r="H39" s="87"/>
      <c r="I39" s="89"/>
    </row>
    <row r="40" spans="2:9">
      <c r="B40" s="85">
        <v>31</v>
      </c>
      <c r="C40" s="86" t="s">
        <v>149</v>
      </c>
      <c r="D40" s="86" t="s">
        <v>9</v>
      </c>
      <c r="E40" s="86" t="s">
        <v>16</v>
      </c>
      <c r="F40" s="86">
        <v>7067809959</v>
      </c>
      <c r="G40" s="87">
        <v>42431</v>
      </c>
      <c r="H40" s="87"/>
      <c r="I40" s="89"/>
    </row>
    <row r="41" spans="2:9">
      <c r="B41" s="85">
        <v>32</v>
      </c>
      <c r="C41" s="86" t="s">
        <v>200</v>
      </c>
      <c r="D41" s="86" t="s">
        <v>9</v>
      </c>
      <c r="E41" s="86" t="s">
        <v>99</v>
      </c>
      <c r="F41" s="86">
        <v>7034373409</v>
      </c>
      <c r="G41" s="87">
        <v>42431</v>
      </c>
      <c r="H41" s="87"/>
      <c r="I41" s="93"/>
    </row>
    <row r="42" spans="2:9">
      <c r="B42" s="85" t="s">
        <v>65</v>
      </c>
      <c r="C42" s="86" t="s">
        <v>8</v>
      </c>
      <c r="D42" s="86" t="s">
        <v>9</v>
      </c>
      <c r="E42" s="86" t="s">
        <v>10</v>
      </c>
      <c r="F42" s="86">
        <v>8139151504</v>
      </c>
      <c r="G42" s="87">
        <v>42432</v>
      </c>
      <c r="H42" s="87"/>
      <c r="I42" s="89"/>
    </row>
    <row r="43" spans="2:9">
      <c r="B43" s="85" t="s">
        <v>67</v>
      </c>
      <c r="C43" s="86" t="s">
        <v>152</v>
      </c>
      <c r="D43" s="86" t="s">
        <v>12</v>
      </c>
      <c r="E43" s="86" t="s">
        <v>25</v>
      </c>
      <c r="F43" s="86">
        <v>8103493750</v>
      </c>
      <c r="G43" s="87">
        <v>42432</v>
      </c>
      <c r="H43" s="87"/>
      <c r="I43" s="89"/>
    </row>
    <row r="44" spans="2:9">
      <c r="B44" s="85" t="s">
        <v>69</v>
      </c>
      <c r="C44" s="91" t="s">
        <v>215</v>
      </c>
      <c r="D44" s="91" t="s">
        <v>9</v>
      </c>
      <c r="E44" s="91" t="s">
        <v>99</v>
      </c>
      <c r="F44" s="91">
        <v>8168819905</v>
      </c>
      <c r="G44" s="92">
        <v>42432</v>
      </c>
      <c r="H44" s="92"/>
      <c r="I44" s="89"/>
    </row>
    <row r="45" spans="2:9">
      <c r="B45" s="85" t="s">
        <v>72</v>
      </c>
      <c r="C45" s="86" t="s">
        <v>39</v>
      </c>
      <c r="D45" s="86" t="s">
        <v>12</v>
      </c>
      <c r="E45" s="86" t="s">
        <v>19</v>
      </c>
      <c r="F45" s="86">
        <v>8138354528</v>
      </c>
      <c r="G45" s="87">
        <v>42433</v>
      </c>
      <c r="H45" s="87"/>
      <c r="I45" s="88"/>
    </row>
    <row r="46" spans="2:9">
      <c r="B46" s="85">
        <v>37</v>
      </c>
      <c r="C46" s="86" t="s">
        <v>11</v>
      </c>
      <c r="D46" s="86" t="s">
        <v>12</v>
      </c>
      <c r="E46" s="86"/>
      <c r="F46" s="86">
        <v>7038899373</v>
      </c>
      <c r="G46" s="87">
        <v>42435</v>
      </c>
      <c r="H46" s="87"/>
      <c r="I46" s="89"/>
    </row>
    <row r="47" spans="2:9">
      <c r="B47" s="85">
        <v>38</v>
      </c>
      <c r="C47" s="86" t="s">
        <v>244</v>
      </c>
      <c r="D47" s="86" t="s">
        <v>9</v>
      </c>
      <c r="E47" s="86" t="s">
        <v>75</v>
      </c>
      <c r="F47" s="86">
        <v>8161570025</v>
      </c>
      <c r="G47" s="87">
        <v>42435</v>
      </c>
      <c r="H47" s="87"/>
      <c r="I47" s="89"/>
    </row>
    <row r="48" spans="2:9">
      <c r="B48" s="85" t="s">
        <v>78</v>
      </c>
      <c r="C48" s="86" t="s">
        <v>108</v>
      </c>
      <c r="D48" s="86" t="s">
        <v>9</v>
      </c>
      <c r="E48" s="86" t="s">
        <v>29</v>
      </c>
      <c r="F48" s="86">
        <v>8139484910</v>
      </c>
      <c r="G48" s="87">
        <v>42439</v>
      </c>
      <c r="H48" s="87"/>
      <c r="I48" s="89"/>
    </row>
    <row r="49" spans="2:9">
      <c r="B49" s="85">
        <v>40</v>
      </c>
      <c r="C49" s="91" t="s">
        <v>258</v>
      </c>
      <c r="D49" s="94" t="s">
        <v>12</v>
      </c>
      <c r="E49" s="91" t="s">
        <v>25</v>
      </c>
      <c r="F49" s="91">
        <v>8061694927</v>
      </c>
      <c r="G49" s="92">
        <v>42440</v>
      </c>
      <c r="H49" s="92"/>
      <c r="I49" s="89"/>
    </row>
    <row r="50" spans="2:9">
      <c r="B50" s="85" t="s">
        <v>81</v>
      </c>
      <c r="C50" s="86" t="s">
        <v>179</v>
      </c>
      <c r="D50" s="86" t="s">
        <v>12</v>
      </c>
      <c r="E50" s="86" t="s">
        <v>71</v>
      </c>
      <c r="F50" s="86">
        <v>7039390218</v>
      </c>
      <c r="G50" s="87">
        <v>42441</v>
      </c>
      <c r="H50" s="87"/>
      <c r="I50" s="89"/>
    </row>
    <row r="51" spans="2:9" s="81" customFormat="1">
      <c r="B51" s="82" t="s">
        <v>83</v>
      </c>
      <c r="C51" s="83" t="s">
        <v>174</v>
      </c>
      <c r="D51" s="83" t="s">
        <v>12</v>
      </c>
      <c r="E51" s="83" t="s">
        <v>29</v>
      </c>
      <c r="F51" s="83">
        <v>7061935632</v>
      </c>
      <c r="G51" s="84">
        <v>42444</v>
      </c>
      <c r="H51" s="84" t="s">
        <v>286</v>
      </c>
      <c r="I51" s="90"/>
    </row>
    <row r="52" spans="2:9">
      <c r="B52" s="85">
        <v>43</v>
      </c>
      <c r="C52" s="86" t="s">
        <v>13</v>
      </c>
      <c r="D52" s="86" t="s">
        <v>12</v>
      </c>
      <c r="E52" s="86" t="s">
        <v>14</v>
      </c>
      <c r="F52" s="86">
        <v>7032662092</v>
      </c>
      <c r="G52" s="87">
        <v>42446</v>
      </c>
      <c r="H52" s="87"/>
      <c r="I52" s="89"/>
    </row>
    <row r="53" spans="2:9">
      <c r="B53" s="85" t="s">
        <v>86</v>
      </c>
      <c r="C53" s="86" t="s">
        <v>68</v>
      </c>
      <c r="D53" s="86" t="s">
        <v>12</v>
      </c>
      <c r="E53" s="86"/>
      <c r="F53" s="86">
        <v>7060949661</v>
      </c>
      <c r="G53" s="87">
        <v>42446</v>
      </c>
      <c r="H53" s="87"/>
      <c r="I53" s="89"/>
    </row>
    <row r="54" spans="2:9">
      <c r="B54" s="85" t="s">
        <v>88</v>
      </c>
      <c r="C54" s="86" t="s">
        <v>148</v>
      </c>
      <c r="D54" s="86" t="s">
        <v>9</v>
      </c>
      <c r="E54" s="86" t="s">
        <v>10</v>
      </c>
      <c r="F54" s="86">
        <v>7064444371</v>
      </c>
      <c r="G54" s="87">
        <v>42448</v>
      </c>
      <c r="H54" s="87"/>
      <c r="I54" s="89"/>
    </row>
    <row r="55" spans="2:9">
      <c r="B55" s="85" t="s">
        <v>90</v>
      </c>
      <c r="C55" s="86" t="s">
        <v>167</v>
      </c>
      <c r="D55" s="86" t="s">
        <v>12</v>
      </c>
      <c r="E55" s="86" t="s">
        <v>43</v>
      </c>
      <c r="F55" s="86">
        <v>8168431059</v>
      </c>
      <c r="G55" s="87">
        <v>42448</v>
      </c>
      <c r="H55" s="87"/>
      <c r="I55" s="89"/>
    </row>
    <row r="56" spans="2:9">
      <c r="B56" s="85" t="s">
        <v>92</v>
      </c>
      <c r="C56" s="86" t="s">
        <v>184</v>
      </c>
      <c r="D56" s="86" t="s">
        <v>12</v>
      </c>
      <c r="E56" s="86" t="s">
        <v>21</v>
      </c>
      <c r="F56" s="86">
        <v>7035520934</v>
      </c>
      <c r="G56" s="87">
        <v>42448</v>
      </c>
      <c r="H56" s="87"/>
      <c r="I56" s="89"/>
    </row>
    <row r="57" spans="2:9">
      <c r="B57" s="85" t="s">
        <v>94</v>
      </c>
      <c r="C57" s="86" t="s">
        <v>70</v>
      </c>
      <c r="D57" s="86" t="s">
        <v>12</v>
      </c>
      <c r="E57" s="86" t="s">
        <v>71</v>
      </c>
      <c r="F57" s="86">
        <v>8060053331</v>
      </c>
      <c r="G57" s="87">
        <v>42450</v>
      </c>
      <c r="H57" s="87"/>
      <c r="I57" s="89"/>
    </row>
    <row r="58" spans="2:9" s="81" customFormat="1">
      <c r="B58" s="82" t="s">
        <v>97</v>
      </c>
      <c r="C58" s="83" t="s">
        <v>17</v>
      </c>
      <c r="D58" s="83" t="s">
        <v>9</v>
      </c>
      <c r="E58" s="83" t="s">
        <v>10</v>
      </c>
      <c r="F58" s="83">
        <v>8133821032</v>
      </c>
      <c r="G58" s="84">
        <v>42451</v>
      </c>
      <c r="H58" s="84" t="s">
        <v>301</v>
      </c>
      <c r="I58" s="90"/>
    </row>
    <row r="59" spans="2:9">
      <c r="B59" s="85" t="s">
        <v>100</v>
      </c>
      <c r="C59" s="86" t="s">
        <v>44</v>
      </c>
      <c r="D59" s="86" t="s">
        <v>12</v>
      </c>
      <c r="E59" s="86" t="s">
        <v>45</v>
      </c>
      <c r="F59" s="86">
        <v>8080888120</v>
      </c>
      <c r="G59" s="87">
        <v>42451</v>
      </c>
      <c r="H59" s="87"/>
      <c r="I59" s="89"/>
    </row>
    <row r="60" spans="2:9">
      <c r="B60" s="85" t="s">
        <v>102</v>
      </c>
      <c r="C60" s="86" t="s">
        <v>217</v>
      </c>
      <c r="D60" s="86" t="s">
        <v>9</v>
      </c>
      <c r="E60" s="86" t="s">
        <v>218</v>
      </c>
      <c r="F60" s="86">
        <v>7031015679</v>
      </c>
      <c r="G60" s="87">
        <v>42451</v>
      </c>
      <c r="H60" s="87"/>
      <c r="I60" s="89"/>
    </row>
    <row r="61" spans="2:9">
      <c r="B61" s="85">
        <v>52</v>
      </c>
      <c r="C61" s="91" t="s">
        <v>250</v>
      </c>
      <c r="D61" s="91" t="s">
        <v>12</v>
      </c>
      <c r="E61" s="91" t="s">
        <v>138</v>
      </c>
      <c r="F61" s="91">
        <v>7064393310</v>
      </c>
      <c r="G61" s="92">
        <v>42451</v>
      </c>
      <c r="H61" s="92"/>
      <c r="I61" s="89"/>
    </row>
    <row r="62" spans="2:9" s="81" customFormat="1">
      <c r="B62" s="82" t="s">
        <v>105</v>
      </c>
      <c r="C62" s="83" t="s">
        <v>252</v>
      </c>
      <c r="D62" s="83" t="s">
        <v>12</v>
      </c>
      <c r="E62" s="83" t="s">
        <v>31</v>
      </c>
      <c r="F62" s="83">
        <v>8135325303</v>
      </c>
      <c r="G62" s="84">
        <v>42456</v>
      </c>
      <c r="H62" s="84" t="s">
        <v>285</v>
      </c>
      <c r="I62" s="90"/>
    </row>
    <row r="63" spans="2:9" ht="24.75" customHeight="1">
      <c r="B63" s="85">
        <v>54</v>
      </c>
      <c r="C63" s="86" t="s">
        <v>260</v>
      </c>
      <c r="D63" s="86" t="s">
        <v>12</v>
      </c>
      <c r="E63" s="86" t="s">
        <v>144</v>
      </c>
      <c r="F63" s="86">
        <v>8083840470</v>
      </c>
      <c r="G63" s="87">
        <v>42457</v>
      </c>
      <c r="H63" s="87"/>
      <c r="I63" s="89"/>
    </row>
    <row r="64" spans="2:9">
      <c r="B64" s="85">
        <v>55</v>
      </c>
      <c r="C64" s="86" t="s">
        <v>54</v>
      </c>
      <c r="D64" s="86" t="s">
        <v>12</v>
      </c>
      <c r="E64" s="86" t="s">
        <v>31</v>
      </c>
      <c r="F64" s="86">
        <v>8038990689</v>
      </c>
      <c r="G64" s="87">
        <v>42458</v>
      </c>
      <c r="H64" s="87"/>
      <c r="I64" s="89"/>
    </row>
    <row r="65" spans="2:9" s="81" customFormat="1">
      <c r="B65" s="82">
        <v>56</v>
      </c>
      <c r="C65" s="83" t="s">
        <v>48</v>
      </c>
      <c r="D65" s="83" t="s">
        <v>12</v>
      </c>
      <c r="E65" s="83" t="s">
        <v>49</v>
      </c>
      <c r="F65" s="83">
        <v>8163489607</v>
      </c>
      <c r="G65" s="84">
        <v>42465</v>
      </c>
      <c r="H65" s="84" t="s">
        <v>295</v>
      </c>
      <c r="I65" s="90"/>
    </row>
    <row r="66" spans="2:9">
      <c r="B66" s="85">
        <v>57</v>
      </c>
      <c r="C66" s="86" t="s">
        <v>106</v>
      </c>
      <c r="D66" s="86" t="s">
        <v>12</v>
      </c>
      <c r="E66" s="86"/>
      <c r="F66" s="86">
        <v>7069424890</v>
      </c>
      <c r="G66" s="87">
        <v>42466</v>
      </c>
      <c r="H66" s="87"/>
      <c r="I66" s="89"/>
    </row>
    <row r="67" spans="2:9">
      <c r="B67" s="85">
        <v>58</v>
      </c>
      <c r="C67" s="86" t="s">
        <v>201</v>
      </c>
      <c r="D67" s="86" t="s">
        <v>12</v>
      </c>
      <c r="E67" s="86" t="s">
        <v>57</v>
      </c>
      <c r="F67" s="86">
        <v>8038662113</v>
      </c>
      <c r="G67" s="87">
        <v>42467</v>
      </c>
      <c r="H67" s="87"/>
      <c r="I67" s="89"/>
    </row>
    <row r="68" spans="2:9">
      <c r="B68" s="85">
        <v>59</v>
      </c>
      <c r="C68" s="91" t="s">
        <v>223</v>
      </c>
      <c r="D68" s="91" t="s">
        <v>12</v>
      </c>
      <c r="E68" s="91" t="s">
        <v>31</v>
      </c>
      <c r="F68" s="91">
        <v>8165909394</v>
      </c>
      <c r="G68" s="92">
        <v>42470</v>
      </c>
      <c r="H68" s="92"/>
      <c r="I68" s="89"/>
    </row>
    <row r="69" spans="2:9" s="81" customFormat="1">
      <c r="B69" s="82">
        <v>60</v>
      </c>
      <c r="C69" s="83" t="s">
        <v>117</v>
      </c>
      <c r="D69" s="83" t="s">
        <v>12</v>
      </c>
      <c r="E69" s="83" t="s">
        <v>118</v>
      </c>
      <c r="F69" s="83">
        <v>7067760558</v>
      </c>
      <c r="G69" s="84">
        <v>42472</v>
      </c>
      <c r="H69" s="84" t="s">
        <v>291</v>
      </c>
      <c r="I69" s="90"/>
    </row>
    <row r="70" spans="2:9">
      <c r="B70" s="85">
        <v>61</v>
      </c>
      <c r="C70" s="91" t="s">
        <v>220</v>
      </c>
      <c r="D70" s="91" t="s">
        <v>12</v>
      </c>
      <c r="E70" s="91" t="s">
        <v>31</v>
      </c>
      <c r="F70" s="91">
        <v>8165656802</v>
      </c>
      <c r="G70" s="92">
        <v>42472</v>
      </c>
      <c r="H70" s="92"/>
      <c r="I70" s="89"/>
    </row>
    <row r="71" spans="2:9">
      <c r="B71" s="85">
        <v>62</v>
      </c>
      <c r="C71" s="86" t="s">
        <v>224</v>
      </c>
      <c r="D71" s="86" t="s">
        <v>12</v>
      </c>
      <c r="E71" s="86" t="s">
        <v>31</v>
      </c>
      <c r="F71" s="86">
        <v>8132128978</v>
      </c>
      <c r="G71" s="87">
        <v>42472</v>
      </c>
      <c r="H71" s="87"/>
      <c r="I71" s="89"/>
    </row>
    <row r="72" spans="2:9">
      <c r="B72" s="85">
        <v>63</v>
      </c>
      <c r="C72" s="91" t="s">
        <v>242</v>
      </c>
      <c r="D72" s="91" t="s">
        <v>243</v>
      </c>
      <c r="E72" s="91" t="s">
        <v>118</v>
      </c>
      <c r="F72" s="91">
        <v>8165647728</v>
      </c>
      <c r="G72" s="92">
        <v>42474</v>
      </c>
      <c r="H72" s="92"/>
      <c r="I72" s="89"/>
    </row>
    <row r="73" spans="2:9">
      <c r="B73" s="85">
        <v>64</v>
      </c>
      <c r="C73" s="91" t="s">
        <v>264</v>
      </c>
      <c r="D73" s="94" t="s">
        <v>9</v>
      </c>
      <c r="E73" s="94" t="s">
        <v>218</v>
      </c>
      <c r="F73" s="91">
        <v>8073236629</v>
      </c>
      <c r="G73" s="95">
        <v>42474</v>
      </c>
      <c r="H73" s="95"/>
      <c r="I73" s="89"/>
    </row>
    <row r="74" spans="2:9">
      <c r="B74" s="85" t="s">
        <v>120</v>
      </c>
      <c r="C74" s="86" t="s">
        <v>209</v>
      </c>
      <c r="D74" s="86" t="s">
        <v>12</v>
      </c>
      <c r="E74" s="86" t="s">
        <v>64</v>
      </c>
      <c r="F74" s="86">
        <v>7010268269</v>
      </c>
      <c r="G74" s="87">
        <v>42475</v>
      </c>
      <c r="H74" s="87"/>
      <c r="I74" s="89"/>
    </row>
    <row r="75" spans="2:9">
      <c r="B75" s="85">
        <v>66</v>
      </c>
      <c r="C75" s="86" t="s">
        <v>222</v>
      </c>
      <c r="D75" s="86" t="s">
        <v>12</v>
      </c>
      <c r="E75" s="86" t="s">
        <v>31</v>
      </c>
      <c r="F75" s="86">
        <v>8133363857</v>
      </c>
      <c r="G75" s="87">
        <v>42476</v>
      </c>
      <c r="H75" s="87"/>
      <c r="I75" s="89"/>
    </row>
    <row r="76" spans="2:9">
      <c r="B76" s="85">
        <v>67</v>
      </c>
      <c r="C76" s="86" t="s">
        <v>147</v>
      </c>
      <c r="D76" s="86" t="s">
        <v>9</v>
      </c>
      <c r="E76" s="86" t="s">
        <v>132</v>
      </c>
      <c r="F76" s="86">
        <v>7037901602</v>
      </c>
      <c r="G76" s="87">
        <v>42477</v>
      </c>
      <c r="H76" s="87"/>
      <c r="I76" s="89"/>
    </row>
    <row r="77" spans="2:9">
      <c r="B77" s="85" t="s">
        <v>124</v>
      </c>
      <c r="C77" s="86" t="s">
        <v>163</v>
      </c>
      <c r="D77" s="86" t="s">
        <v>9</v>
      </c>
      <c r="E77" s="86" t="s">
        <v>96</v>
      </c>
      <c r="F77" s="86">
        <v>8162482950</v>
      </c>
      <c r="G77" s="87">
        <v>42478</v>
      </c>
      <c r="H77" s="87"/>
      <c r="I77" s="89"/>
    </row>
    <row r="78" spans="2:9">
      <c r="B78" s="85" t="s">
        <v>126</v>
      </c>
      <c r="C78" s="86" t="s">
        <v>261</v>
      </c>
      <c r="D78" s="86" t="s">
        <v>9</v>
      </c>
      <c r="E78" s="86" t="s">
        <v>138</v>
      </c>
      <c r="F78" s="86">
        <v>7039168537</v>
      </c>
      <c r="G78" s="87">
        <v>42480</v>
      </c>
      <c r="H78" s="87"/>
      <c r="I78" s="89"/>
    </row>
    <row r="79" spans="2:9">
      <c r="B79" s="85">
        <v>70</v>
      </c>
      <c r="C79" s="86" t="s">
        <v>34</v>
      </c>
      <c r="D79" s="86" t="s">
        <v>9</v>
      </c>
      <c r="E79" s="86" t="s">
        <v>16</v>
      </c>
      <c r="F79" s="86">
        <v>8166576436</v>
      </c>
      <c r="G79" s="87">
        <v>42482</v>
      </c>
      <c r="H79" s="87"/>
      <c r="I79" s="89"/>
    </row>
    <row r="80" spans="2:9">
      <c r="B80" s="85" t="s">
        <v>129</v>
      </c>
      <c r="C80" s="86" t="s">
        <v>134</v>
      </c>
      <c r="D80" s="86" t="s">
        <v>12</v>
      </c>
      <c r="E80" s="86" t="s">
        <v>14</v>
      </c>
      <c r="F80" s="86">
        <v>8064334860</v>
      </c>
      <c r="G80" s="87">
        <v>42483</v>
      </c>
      <c r="H80" s="87"/>
      <c r="I80" s="89"/>
    </row>
    <row r="81" spans="2:9">
      <c r="B81" s="85">
        <v>72</v>
      </c>
      <c r="C81" s="86" t="s">
        <v>156</v>
      </c>
      <c r="D81" s="86" t="s">
        <v>12</v>
      </c>
      <c r="E81" s="86" t="s">
        <v>43</v>
      </c>
      <c r="F81" s="86">
        <v>7087142133</v>
      </c>
      <c r="G81" s="87">
        <v>42485</v>
      </c>
      <c r="H81" s="87"/>
      <c r="I81" s="89"/>
    </row>
    <row r="82" spans="2:9" s="81" customFormat="1">
      <c r="B82" s="82">
        <v>73</v>
      </c>
      <c r="C82" s="83" t="s">
        <v>172</v>
      </c>
      <c r="D82" s="83" t="s">
        <v>12</v>
      </c>
      <c r="E82" s="83" t="s">
        <v>96</v>
      </c>
      <c r="F82" s="83">
        <v>8032741675</v>
      </c>
      <c r="G82" s="84">
        <v>42486</v>
      </c>
      <c r="H82" s="84" t="s">
        <v>289</v>
      </c>
      <c r="I82" s="90"/>
    </row>
    <row r="83" spans="2:9">
      <c r="B83" s="85">
        <v>74</v>
      </c>
      <c r="C83" s="91" t="s">
        <v>205</v>
      </c>
      <c r="D83" s="91" t="s">
        <v>12</v>
      </c>
      <c r="E83" s="91" t="s">
        <v>62</v>
      </c>
      <c r="F83" s="91">
        <v>8105162062</v>
      </c>
      <c r="G83" s="92">
        <v>42486</v>
      </c>
      <c r="H83" s="92"/>
      <c r="I83" s="89"/>
    </row>
    <row r="84" spans="2:9">
      <c r="B84" s="85">
        <v>75</v>
      </c>
      <c r="C84" s="86" t="s">
        <v>141</v>
      </c>
      <c r="D84" s="86" t="s">
        <v>12</v>
      </c>
      <c r="E84" s="86" t="s">
        <v>45</v>
      </c>
      <c r="F84" s="86">
        <v>7033980855</v>
      </c>
      <c r="G84" s="87">
        <v>42492</v>
      </c>
      <c r="H84" s="87"/>
      <c r="I84" s="89"/>
    </row>
    <row r="85" spans="2:9">
      <c r="B85" s="85">
        <v>76</v>
      </c>
      <c r="C85" s="86" t="s">
        <v>195</v>
      </c>
      <c r="D85" s="86" t="s">
        <v>12</v>
      </c>
      <c r="E85" s="86"/>
      <c r="F85" s="86">
        <v>8139359239</v>
      </c>
      <c r="G85" s="87">
        <v>42495</v>
      </c>
      <c r="H85" s="87"/>
      <c r="I85" s="89"/>
    </row>
    <row r="86" spans="2:9" s="81" customFormat="1">
      <c r="B86" s="82">
        <v>77</v>
      </c>
      <c r="C86" s="83" t="s">
        <v>111</v>
      </c>
      <c r="D86" s="83" t="s">
        <v>12</v>
      </c>
      <c r="E86" s="83" t="s">
        <v>29</v>
      </c>
      <c r="F86" s="83">
        <v>8138662883</v>
      </c>
      <c r="G86" s="84">
        <v>42496</v>
      </c>
      <c r="H86" s="84" t="s">
        <v>300</v>
      </c>
      <c r="I86" s="90"/>
    </row>
    <row r="87" spans="2:9">
      <c r="B87" s="85">
        <v>78</v>
      </c>
      <c r="C87" s="86" t="s">
        <v>199</v>
      </c>
      <c r="D87" s="86" t="s">
        <v>9</v>
      </c>
      <c r="E87" s="86" t="s">
        <v>64</v>
      </c>
      <c r="F87" s="86">
        <v>7033583386</v>
      </c>
      <c r="G87" s="87">
        <v>42498</v>
      </c>
      <c r="H87" s="87"/>
      <c r="I87" s="89"/>
    </row>
    <row r="88" spans="2:9">
      <c r="B88" s="85">
        <v>79</v>
      </c>
      <c r="C88" s="91" t="s">
        <v>229</v>
      </c>
      <c r="D88" s="91" t="s">
        <v>12</v>
      </c>
      <c r="E88" s="91" t="s">
        <v>27</v>
      </c>
      <c r="F88" s="91">
        <v>8067181870</v>
      </c>
      <c r="G88" s="92">
        <v>42501</v>
      </c>
      <c r="H88" s="92"/>
      <c r="I88" s="89"/>
    </row>
    <row r="89" spans="2:9">
      <c r="B89" s="85">
        <v>80</v>
      </c>
      <c r="C89" s="86" t="s">
        <v>202</v>
      </c>
      <c r="D89" s="86" t="s">
        <v>12</v>
      </c>
      <c r="E89" s="86" t="s">
        <v>38</v>
      </c>
      <c r="F89" s="86">
        <v>8091560262</v>
      </c>
      <c r="G89" s="87">
        <v>42503</v>
      </c>
      <c r="H89" s="87"/>
      <c r="I89" s="89"/>
    </row>
    <row r="90" spans="2:9">
      <c r="B90" s="85">
        <v>81</v>
      </c>
      <c r="C90" s="86" t="s">
        <v>82</v>
      </c>
      <c r="D90" s="86" t="s">
        <v>12</v>
      </c>
      <c r="E90" s="86" t="s">
        <v>27</v>
      </c>
      <c r="F90" s="86">
        <v>8168846415</v>
      </c>
      <c r="G90" s="87">
        <v>42504</v>
      </c>
      <c r="H90" s="87"/>
      <c r="I90" s="89"/>
    </row>
    <row r="91" spans="2:9">
      <c r="B91" s="85">
        <v>82</v>
      </c>
      <c r="C91" s="86" t="s">
        <v>198</v>
      </c>
      <c r="D91" s="86" t="s">
        <v>12</v>
      </c>
      <c r="E91" s="86" t="s">
        <v>162</v>
      </c>
      <c r="F91" s="86">
        <v>8100048649</v>
      </c>
      <c r="G91" s="87">
        <v>42504</v>
      </c>
      <c r="H91" s="87"/>
      <c r="I91" s="89"/>
    </row>
    <row r="92" spans="2:9">
      <c r="B92" s="85">
        <v>83</v>
      </c>
      <c r="C92" s="86" t="s">
        <v>133</v>
      </c>
      <c r="D92" s="86" t="s">
        <v>9</v>
      </c>
      <c r="E92" s="86" t="s">
        <v>64</v>
      </c>
      <c r="F92" s="86">
        <v>7067802507</v>
      </c>
      <c r="G92" s="87">
        <v>42505</v>
      </c>
      <c r="H92" s="87"/>
      <c r="I92" s="89"/>
    </row>
    <row r="93" spans="2:9">
      <c r="B93" s="85">
        <v>84</v>
      </c>
      <c r="C93" s="86" t="s">
        <v>166</v>
      </c>
      <c r="D93" s="86" t="s">
        <v>12</v>
      </c>
      <c r="E93" s="86" t="s">
        <v>49</v>
      </c>
      <c r="F93" s="86">
        <v>8102799922</v>
      </c>
      <c r="G93" s="87">
        <v>42505</v>
      </c>
      <c r="H93" s="87"/>
      <c r="I93" s="89"/>
    </row>
    <row r="94" spans="2:9" s="81" customFormat="1">
      <c r="B94" s="82">
        <v>85</v>
      </c>
      <c r="C94" s="83" t="s">
        <v>109</v>
      </c>
      <c r="D94" s="83" t="s">
        <v>12</v>
      </c>
      <c r="E94" s="83" t="s">
        <v>41</v>
      </c>
      <c r="F94" s="83">
        <v>8026554422</v>
      </c>
      <c r="G94" s="84">
        <v>42508</v>
      </c>
      <c r="H94" s="84" t="s">
        <v>302</v>
      </c>
      <c r="I94" s="90"/>
    </row>
    <row r="95" spans="2:9">
      <c r="B95" s="85">
        <v>86</v>
      </c>
      <c r="C95" s="86" t="s">
        <v>107</v>
      </c>
      <c r="D95" s="86" t="s">
        <v>12</v>
      </c>
      <c r="E95" s="86" t="s">
        <v>38</v>
      </c>
      <c r="F95" s="86">
        <v>8065856717</v>
      </c>
      <c r="G95" s="87">
        <v>42511</v>
      </c>
      <c r="H95" s="87"/>
      <c r="I95" s="89"/>
    </row>
    <row r="96" spans="2:9">
      <c r="B96" s="85">
        <v>87</v>
      </c>
      <c r="C96" s="86" t="s">
        <v>22</v>
      </c>
      <c r="D96" s="86" t="s">
        <v>12</v>
      </c>
      <c r="E96" s="86" t="s">
        <v>23</v>
      </c>
      <c r="F96" s="86">
        <v>7035729644</v>
      </c>
      <c r="G96" s="87">
        <v>42513</v>
      </c>
      <c r="H96" s="87"/>
      <c r="I96" s="89"/>
    </row>
    <row r="97" spans="2:9">
      <c r="B97" s="85">
        <v>88</v>
      </c>
      <c r="C97" s="86" t="s">
        <v>125</v>
      </c>
      <c r="D97" s="86"/>
      <c r="E97" s="86"/>
      <c r="F97" s="86">
        <v>8133783310</v>
      </c>
      <c r="G97" s="87">
        <v>42513</v>
      </c>
      <c r="H97" s="87"/>
      <c r="I97" s="89"/>
    </row>
    <row r="98" spans="2:9">
      <c r="B98" s="85">
        <v>89</v>
      </c>
      <c r="C98" s="86" t="s">
        <v>123</v>
      </c>
      <c r="D98" s="86" t="s">
        <v>9</v>
      </c>
      <c r="E98" s="86" t="s">
        <v>43</v>
      </c>
      <c r="F98" s="86">
        <v>8161785236</v>
      </c>
      <c r="G98" s="87">
        <v>42514</v>
      </c>
      <c r="H98" s="87"/>
      <c r="I98" s="89"/>
    </row>
    <row r="99" spans="2:9">
      <c r="B99" s="85">
        <v>90</v>
      </c>
      <c r="C99" s="86" t="s">
        <v>135</v>
      </c>
      <c r="D99" s="86" t="s">
        <v>12</v>
      </c>
      <c r="E99" s="86" t="s">
        <v>33</v>
      </c>
      <c r="F99" s="86">
        <v>8164354053</v>
      </c>
      <c r="G99" s="87">
        <v>42514</v>
      </c>
      <c r="H99" s="87"/>
      <c r="I99" s="89"/>
    </row>
    <row r="100" spans="2:9">
      <c r="B100" s="85">
        <v>91</v>
      </c>
      <c r="C100" s="91" t="s">
        <v>225</v>
      </c>
      <c r="D100" s="91" t="s">
        <v>12</v>
      </c>
      <c r="E100" s="91" t="s">
        <v>16</v>
      </c>
      <c r="F100" s="91">
        <v>7038938769</v>
      </c>
      <c r="G100" s="92">
        <v>42516</v>
      </c>
      <c r="H100" s="92"/>
      <c r="I100" s="89"/>
    </row>
    <row r="101" spans="2:9">
      <c r="B101" s="85">
        <v>92</v>
      </c>
      <c r="C101" s="86" t="s">
        <v>127</v>
      </c>
      <c r="D101" s="86"/>
      <c r="E101" s="86"/>
      <c r="F101" s="86">
        <v>8174490816</v>
      </c>
      <c r="G101" s="87">
        <v>42518</v>
      </c>
      <c r="H101" s="87"/>
      <c r="I101" s="89"/>
    </row>
    <row r="102" spans="2:9">
      <c r="B102" s="85">
        <v>93</v>
      </c>
      <c r="C102" s="86" t="s">
        <v>151</v>
      </c>
      <c r="D102" s="86" t="s">
        <v>12</v>
      </c>
      <c r="E102" s="86" t="s">
        <v>21</v>
      </c>
      <c r="F102" s="86">
        <v>8101109376</v>
      </c>
      <c r="G102" s="87">
        <v>42519</v>
      </c>
      <c r="H102" s="87"/>
      <c r="I102" s="89"/>
    </row>
    <row r="103" spans="2:9">
      <c r="B103" s="85">
        <v>94</v>
      </c>
      <c r="C103" s="86" t="s">
        <v>95</v>
      </c>
      <c r="D103" s="86" t="s">
        <v>12</v>
      </c>
      <c r="E103" s="86" t="s">
        <v>96</v>
      </c>
      <c r="F103" s="86">
        <v>8066585994</v>
      </c>
      <c r="G103" s="87">
        <v>42522</v>
      </c>
      <c r="H103" s="87"/>
      <c r="I103" s="89"/>
    </row>
    <row r="104" spans="2:9" s="81" customFormat="1">
      <c r="B104" s="82">
        <v>95</v>
      </c>
      <c r="C104" s="83" t="s">
        <v>171</v>
      </c>
      <c r="D104" s="83" t="s">
        <v>12</v>
      </c>
      <c r="E104" s="83" t="s">
        <v>19</v>
      </c>
      <c r="F104" s="83">
        <v>7034778918</v>
      </c>
      <c r="G104" s="84">
        <v>42522</v>
      </c>
      <c r="H104" s="84" t="s">
        <v>283</v>
      </c>
      <c r="I104" s="90"/>
    </row>
    <row r="105" spans="2:9">
      <c r="B105" s="85">
        <v>96</v>
      </c>
      <c r="C105" s="86" t="s">
        <v>270</v>
      </c>
      <c r="D105" s="86" t="s">
        <v>12</v>
      </c>
      <c r="E105" s="86" t="s">
        <v>14</v>
      </c>
      <c r="F105" s="86">
        <v>8065000583</v>
      </c>
      <c r="G105" s="87">
        <v>42522</v>
      </c>
      <c r="H105" s="87"/>
      <c r="I105" s="89"/>
    </row>
    <row r="106" spans="2:9">
      <c r="B106" s="85">
        <v>97</v>
      </c>
      <c r="C106" s="86" t="s">
        <v>76</v>
      </c>
      <c r="D106" s="86" t="s">
        <v>12</v>
      </c>
      <c r="E106" s="86" t="s">
        <v>77</v>
      </c>
      <c r="F106" s="86">
        <v>8060210550</v>
      </c>
      <c r="G106" s="87">
        <v>42524</v>
      </c>
      <c r="H106" s="87"/>
      <c r="I106" s="89"/>
    </row>
    <row r="107" spans="2:9">
      <c r="B107" s="85">
        <v>98</v>
      </c>
      <c r="C107" s="86" t="s">
        <v>40</v>
      </c>
      <c r="D107" s="86" t="s">
        <v>12</v>
      </c>
      <c r="E107" s="86" t="s">
        <v>41</v>
      </c>
      <c r="F107" s="86">
        <v>8034765665</v>
      </c>
      <c r="G107" s="87">
        <v>42528</v>
      </c>
      <c r="H107" s="87"/>
      <c r="I107" s="89"/>
    </row>
    <row r="108" spans="2:9" s="81" customFormat="1">
      <c r="B108" s="82">
        <v>99</v>
      </c>
      <c r="C108" s="96" t="s">
        <v>255</v>
      </c>
      <c r="D108" s="96" t="s">
        <v>9</v>
      </c>
      <c r="E108" s="96" t="s">
        <v>16</v>
      </c>
      <c r="F108" s="96">
        <v>7064234899</v>
      </c>
      <c r="G108" s="97">
        <v>42530</v>
      </c>
      <c r="H108" s="97" t="s">
        <v>287</v>
      </c>
      <c r="I108" s="90"/>
    </row>
    <row r="109" spans="2:9">
      <c r="B109" s="85">
        <v>100</v>
      </c>
      <c r="C109" s="86" t="s">
        <v>28</v>
      </c>
      <c r="D109" s="86" t="s">
        <v>9</v>
      </c>
      <c r="E109" s="86" t="s">
        <v>29</v>
      </c>
      <c r="F109" s="86">
        <v>7032571962</v>
      </c>
      <c r="G109" s="87">
        <v>42532</v>
      </c>
      <c r="H109" s="87"/>
      <c r="I109" s="89"/>
    </row>
    <row r="110" spans="2:9">
      <c r="B110" s="85">
        <v>101</v>
      </c>
      <c r="C110" s="86" t="s">
        <v>161</v>
      </c>
      <c r="D110" s="86" t="s">
        <v>9</v>
      </c>
      <c r="E110" s="86" t="s">
        <v>162</v>
      </c>
      <c r="F110" s="86">
        <v>7066393533</v>
      </c>
      <c r="G110" s="87">
        <v>42532</v>
      </c>
      <c r="H110" s="87"/>
      <c r="I110" s="89"/>
    </row>
    <row r="111" spans="2:9" s="81" customFormat="1">
      <c r="B111" s="82">
        <v>102</v>
      </c>
      <c r="C111" s="83" t="s">
        <v>175</v>
      </c>
      <c r="D111" s="83" t="s">
        <v>9</v>
      </c>
      <c r="E111" s="83" t="s">
        <v>77</v>
      </c>
      <c r="F111" s="83">
        <v>8169576027</v>
      </c>
      <c r="G111" s="84">
        <v>42533</v>
      </c>
      <c r="H111" s="84" t="s">
        <v>288</v>
      </c>
      <c r="I111" s="90"/>
    </row>
    <row r="112" spans="2:9">
      <c r="B112" s="85">
        <v>103</v>
      </c>
      <c r="C112" s="91" t="s">
        <v>231</v>
      </c>
      <c r="D112" s="91" t="s">
        <v>9</v>
      </c>
      <c r="E112" s="91" t="s">
        <v>218</v>
      </c>
      <c r="F112" s="91">
        <v>7033246611</v>
      </c>
      <c r="G112" s="92">
        <v>42535</v>
      </c>
      <c r="H112" s="92"/>
      <c r="I112" s="89"/>
    </row>
    <row r="113" spans="2:9" s="81" customFormat="1">
      <c r="B113" s="82">
        <v>104</v>
      </c>
      <c r="C113" s="83" t="s">
        <v>46</v>
      </c>
      <c r="D113" s="83" t="s">
        <v>12</v>
      </c>
      <c r="E113" s="83" t="s">
        <v>43</v>
      </c>
      <c r="F113" s="83">
        <v>8161129829</v>
      </c>
      <c r="G113" s="84">
        <v>42536</v>
      </c>
      <c r="H113" s="84" t="s">
        <v>296</v>
      </c>
      <c r="I113" s="90"/>
    </row>
    <row r="114" spans="2:9" s="81" customFormat="1">
      <c r="B114" s="82">
        <v>105</v>
      </c>
      <c r="C114" s="83" t="s">
        <v>177</v>
      </c>
      <c r="D114" s="83" t="s">
        <v>12</v>
      </c>
      <c r="E114" s="83" t="s">
        <v>21</v>
      </c>
      <c r="F114" s="83">
        <v>8135665084</v>
      </c>
      <c r="G114" s="84">
        <v>42536</v>
      </c>
      <c r="H114" s="84" t="s">
        <v>297</v>
      </c>
      <c r="I114" s="90"/>
    </row>
    <row r="115" spans="2:9" s="81" customFormat="1">
      <c r="B115" s="82">
        <v>106</v>
      </c>
      <c r="C115" s="96" t="s">
        <v>253</v>
      </c>
      <c r="D115" s="96" t="s">
        <v>12</v>
      </c>
      <c r="E115" s="96" t="s">
        <v>43</v>
      </c>
      <c r="F115" s="96">
        <v>7068779207</v>
      </c>
      <c r="G115" s="97">
        <v>42537</v>
      </c>
      <c r="H115" s="97" t="s">
        <v>299</v>
      </c>
      <c r="I115" s="90"/>
    </row>
    <row r="116" spans="2:9">
      <c r="B116" s="85">
        <v>107</v>
      </c>
      <c r="C116" s="86" t="s">
        <v>101</v>
      </c>
      <c r="D116" s="86" t="s">
        <v>12</v>
      </c>
      <c r="E116" s="86" t="s">
        <v>43</v>
      </c>
      <c r="F116" s="86">
        <v>8066343021</v>
      </c>
      <c r="G116" s="87">
        <v>42541</v>
      </c>
      <c r="H116" s="87"/>
      <c r="I116" s="89"/>
    </row>
    <row r="117" spans="2:9">
      <c r="B117" s="85">
        <v>108</v>
      </c>
      <c r="C117" s="86" t="s">
        <v>216</v>
      </c>
      <c r="D117" s="86" t="s">
        <v>12</v>
      </c>
      <c r="E117" s="86" t="s">
        <v>43</v>
      </c>
      <c r="F117" s="86">
        <v>8066343021</v>
      </c>
      <c r="G117" s="87">
        <v>42541</v>
      </c>
      <c r="H117" s="87"/>
      <c r="I117" s="89"/>
    </row>
    <row r="118" spans="2:9">
      <c r="B118" s="85">
        <v>109</v>
      </c>
      <c r="C118" s="86" t="s">
        <v>210</v>
      </c>
      <c r="D118" s="86" t="s">
        <v>12</v>
      </c>
      <c r="E118" s="86" t="s">
        <v>207</v>
      </c>
      <c r="F118" s="86">
        <v>7035951063</v>
      </c>
      <c r="G118" s="87">
        <v>42542</v>
      </c>
      <c r="H118" s="87"/>
      <c r="I118" s="89"/>
    </row>
    <row r="119" spans="2:9">
      <c r="B119" s="85">
        <v>110</v>
      </c>
      <c r="C119" s="86" t="s">
        <v>266</v>
      </c>
      <c r="D119" s="86" t="s">
        <v>12</v>
      </c>
      <c r="E119" s="86" t="s">
        <v>138</v>
      </c>
      <c r="F119" s="86">
        <v>7032639427</v>
      </c>
      <c r="G119" s="87">
        <v>42542</v>
      </c>
      <c r="H119" s="87"/>
      <c r="I119" s="89"/>
    </row>
    <row r="120" spans="2:9">
      <c r="B120" s="85">
        <v>111</v>
      </c>
      <c r="C120" s="86" t="s">
        <v>185</v>
      </c>
      <c r="D120" s="86" t="s">
        <v>12</v>
      </c>
      <c r="E120" s="86" t="s">
        <v>71</v>
      </c>
      <c r="F120" s="86">
        <v>8185637062</v>
      </c>
      <c r="G120" s="87">
        <v>42550</v>
      </c>
      <c r="H120" s="87"/>
      <c r="I120" s="89"/>
    </row>
    <row r="121" spans="2:9" s="81" customFormat="1">
      <c r="B121" s="82">
        <v>112</v>
      </c>
      <c r="C121" s="83" t="s">
        <v>112</v>
      </c>
      <c r="D121" s="83" t="s">
        <v>9</v>
      </c>
      <c r="E121" s="83" t="s">
        <v>113</v>
      </c>
      <c r="F121" s="83">
        <v>7069791825</v>
      </c>
      <c r="G121" s="84">
        <v>42551</v>
      </c>
      <c r="H121" s="84" t="s">
        <v>298</v>
      </c>
      <c r="I121" s="90"/>
    </row>
    <row r="122" spans="2:9">
      <c r="B122" s="85">
        <v>113</v>
      </c>
      <c r="C122" s="86" t="s">
        <v>169</v>
      </c>
      <c r="D122" s="86" t="s">
        <v>12</v>
      </c>
      <c r="E122" s="86" t="s">
        <v>14</v>
      </c>
      <c r="F122" s="86">
        <v>8132673450</v>
      </c>
      <c r="G122" s="87">
        <v>42551</v>
      </c>
      <c r="H122" s="87"/>
      <c r="I122" s="89"/>
    </row>
    <row r="123" spans="2:9">
      <c r="B123" s="85">
        <v>114</v>
      </c>
      <c r="C123" s="86" t="s">
        <v>110</v>
      </c>
      <c r="D123" s="86" t="s">
        <v>12</v>
      </c>
      <c r="E123" s="86" t="s">
        <v>21</v>
      </c>
      <c r="F123" s="86">
        <v>7035072299</v>
      </c>
      <c r="G123" s="87">
        <v>42553</v>
      </c>
      <c r="H123" s="87"/>
      <c r="I123" s="89"/>
    </row>
    <row r="124" spans="2:9">
      <c r="B124" s="85">
        <v>115</v>
      </c>
      <c r="C124" s="86" t="s">
        <v>186</v>
      </c>
      <c r="D124" s="86" t="s">
        <v>12</v>
      </c>
      <c r="E124" s="86" t="s">
        <v>10</v>
      </c>
      <c r="F124" s="86">
        <v>8062198780</v>
      </c>
      <c r="G124" s="87">
        <v>42553</v>
      </c>
      <c r="H124" s="87"/>
      <c r="I124" s="89"/>
    </row>
    <row r="125" spans="2:9">
      <c r="B125" s="85" t="s">
        <v>180</v>
      </c>
      <c r="C125" s="86" t="s">
        <v>20</v>
      </c>
      <c r="D125" s="86" t="s">
        <v>12</v>
      </c>
      <c r="E125" s="86" t="s">
        <v>21</v>
      </c>
      <c r="F125" s="86">
        <v>8179673324</v>
      </c>
      <c r="G125" s="87">
        <v>42559</v>
      </c>
      <c r="H125" s="87"/>
      <c r="I125" s="89"/>
    </row>
    <row r="126" spans="2:9">
      <c r="B126" s="85" t="s">
        <v>182</v>
      </c>
      <c r="C126" s="86" t="s">
        <v>85</v>
      </c>
      <c r="D126" s="86" t="s">
        <v>12</v>
      </c>
      <c r="E126" s="86"/>
      <c r="F126" s="86">
        <v>8039204811</v>
      </c>
      <c r="G126" s="87">
        <v>42560</v>
      </c>
      <c r="H126" s="87"/>
      <c r="I126" s="89"/>
    </row>
    <row r="127" spans="2:9">
      <c r="B127" s="85">
        <v>118</v>
      </c>
      <c r="C127" s="91" t="s">
        <v>257</v>
      </c>
      <c r="D127" s="94" t="s">
        <v>9</v>
      </c>
      <c r="E127" s="91" t="s">
        <v>29</v>
      </c>
      <c r="F127" s="91">
        <v>7061125373</v>
      </c>
      <c r="G127" s="92">
        <v>42561</v>
      </c>
      <c r="H127" s="92"/>
      <c r="I127" s="89"/>
    </row>
    <row r="128" spans="2:9">
      <c r="B128" s="85">
        <v>119</v>
      </c>
      <c r="C128" s="86" t="s">
        <v>168</v>
      </c>
      <c r="D128" s="86" t="s">
        <v>12</v>
      </c>
      <c r="E128" s="86" t="s">
        <v>138</v>
      </c>
      <c r="F128" s="86">
        <v>8065880741</v>
      </c>
      <c r="G128" s="87">
        <v>42562</v>
      </c>
      <c r="H128" s="87"/>
      <c r="I128" s="89"/>
    </row>
    <row r="129" spans="2:9">
      <c r="B129" s="85">
        <v>120</v>
      </c>
      <c r="C129" s="86" t="s">
        <v>271</v>
      </c>
      <c r="D129" s="86" t="s">
        <v>12</v>
      </c>
      <c r="E129" s="86" t="s">
        <v>53</v>
      </c>
      <c r="F129" s="86">
        <v>8160694545</v>
      </c>
      <c r="G129" s="87">
        <v>42564</v>
      </c>
      <c r="H129" s="87"/>
      <c r="I129" s="89"/>
    </row>
    <row r="130" spans="2:9">
      <c r="B130" s="85">
        <v>121</v>
      </c>
      <c r="C130" s="86" t="s">
        <v>42</v>
      </c>
      <c r="D130" s="86" t="s">
        <v>12</v>
      </c>
      <c r="E130" s="86" t="s">
        <v>43</v>
      </c>
      <c r="F130" s="86">
        <v>8139737158</v>
      </c>
      <c r="G130" s="87">
        <v>42565</v>
      </c>
      <c r="H130" s="87"/>
      <c r="I130" s="89"/>
    </row>
    <row r="131" spans="2:9" s="81" customFormat="1">
      <c r="B131" s="82">
        <v>122</v>
      </c>
      <c r="C131" s="96" t="s">
        <v>247</v>
      </c>
      <c r="D131" s="96" t="s">
        <v>12</v>
      </c>
      <c r="E131" s="96" t="s">
        <v>62</v>
      </c>
      <c r="F131" s="96">
        <v>8027563526</v>
      </c>
      <c r="G131" s="97">
        <v>42565</v>
      </c>
      <c r="H131" s="97" t="s">
        <v>294</v>
      </c>
      <c r="I131" s="90"/>
    </row>
    <row r="132" spans="2:9">
      <c r="B132" s="85">
        <v>123</v>
      </c>
      <c r="C132" s="86" t="s">
        <v>193</v>
      </c>
      <c r="D132" s="86" t="s">
        <v>12</v>
      </c>
      <c r="E132" s="86"/>
      <c r="F132" s="86">
        <v>8163322468</v>
      </c>
      <c r="G132" s="87">
        <v>42568</v>
      </c>
      <c r="H132" s="87"/>
      <c r="I132" s="89"/>
    </row>
    <row r="133" spans="2:9">
      <c r="B133" s="85">
        <v>124</v>
      </c>
      <c r="C133" s="86" t="s">
        <v>212</v>
      </c>
      <c r="D133" s="86" t="s">
        <v>12</v>
      </c>
      <c r="E133" s="86" t="s">
        <v>213</v>
      </c>
      <c r="F133" s="86">
        <v>8066513542</v>
      </c>
      <c r="G133" s="87">
        <v>42568</v>
      </c>
      <c r="H133" s="87"/>
      <c r="I133" s="89"/>
    </row>
    <row r="134" spans="2:9">
      <c r="B134" s="85">
        <v>125</v>
      </c>
      <c r="C134" s="86" t="s">
        <v>93</v>
      </c>
      <c r="D134" s="86" t="s">
        <v>9</v>
      </c>
      <c r="E134" s="86" t="s">
        <v>57</v>
      </c>
      <c r="F134" s="86">
        <v>8033457399</v>
      </c>
      <c r="G134" s="87">
        <v>42570</v>
      </c>
      <c r="H134" s="87"/>
      <c r="I134" s="89"/>
    </row>
    <row r="135" spans="2:9">
      <c r="B135" s="85" t="s">
        <v>192</v>
      </c>
      <c r="C135" s="86" t="s">
        <v>26</v>
      </c>
      <c r="D135" s="86" t="s">
        <v>9</v>
      </c>
      <c r="E135" s="86" t="s">
        <v>27</v>
      </c>
      <c r="F135" s="86">
        <v>8038355233</v>
      </c>
      <c r="G135" s="87">
        <v>42571</v>
      </c>
      <c r="H135" s="87"/>
      <c r="I135" s="89"/>
    </row>
    <row r="136" spans="2:9">
      <c r="B136" s="85" t="s">
        <v>194</v>
      </c>
      <c r="C136" s="86" t="s">
        <v>140</v>
      </c>
      <c r="D136" s="86" t="s">
        <v>9</v>
      </c>
      <c r="E136" s="86" t="s">
        <v>118</v>
      </c>
      <c r="F136" s="86">
        <v>8038525626</v>
      </c>
      <c r="G136" s="87">
        <v>42574</v>
      </c>
      <c r="H136" s="87"/>
      <c r="I136" s="89"/>
    </row>
    <row r="137" spans="2:9">
      <c r="B137" s="85">
        <v>128</v>
      </c>
      <c r="C137" s="91" t="s">
        <v>230</v>
      </c>
      <c r="D137" s="91" t="s">
        <v>12</v>
      </c>
      <c r="E137" s="91" t="s">
        <v>10</v>
      </c>
      <c r="F137" s="91">
        <v>8066479385</v>
      </c>
      <c r="G137" s="92">
        <v>42579</v>
      </c>
      <c r="H137" s="92"/>
      <c r="I137" s="89"/>
    </row>
    <row r="138" spans="2:9">
      <c r="B138" s="85">
        <v>129</v>
      </c>
      <c r="C138" s="86" t="s">
        <v>104</v>
      </c>
      <c r="D138" s="86" t="s">
        <v>12</v>
      </c>
      <c r="E138" s="86" t="s">
        <v>64</v>
      </c>
      <c r="F138" s="86">
        <v>7035999423</v>
      </c>
      <c r="G138" s="87">
        <v>42585</v>
      </c>
      <c r="H138" s="87"/>
      <c r="I138" s="89"/>
    </row>
    <row r="139" spans="2:9">
      <c r="B139" s="85">
        <v>130</v>
      </c>
      <c r="C139" s="86" t="s">
        <v>183</v>
      </c>
      <c r="D139" s="86" t="s">
        <v>12</v>
      </c>
      <c r="E139" s="86" t="s">
        <v>21</v>
      </c>
      <c r="F139" s="86">
        <v>8167706881</v>
      </c>
      <c r="G139" s="87">
        <v>42595</v>
      </c>
      <c r="H139" s="87"/>
      <c r="I139" s="89"/>
    </row>
    <row r="140" spans="2:9">
      <c r="B140" s="85">
        <v>131</v>
      </c>
      <c r="C140" s="86" t="s">
        <v>228</v>
      </c>
      <c r="D140" s="86" t="s">
        <v>12</v>
      </c>
      <c r="E140" s="86" t="s">
        <v>118</v>
      </c>
      <c r="F140" s="86">
        <v>8038253640</v>
      </c>
      <c r="G140" s="87">
        <v>42596</v>
      </c>
      <c r="H140" s="87"/>
      <c r="I140" s="89"/>
    </row>
    <row r="141" spans="2:9">
      <c r="B141" s="85">
        <v>132</v>
      </c>
      <c r="C141" s="91" t="s">
        <v>245</v>
      </c>
      <c r="D141" s="91" t="s">
        <v>9</v>
      </c>
      <c r="E141" s="91" t="s">
        <v>16</v>
      </c>
      <c r="F141" s="91">
        <v>7033423849</v>
      </c>
      <c r="G141" s="92">
        <v>42597</v>
      </c>
      <c r="H141" s="92"/>
      <c r="I141" s="89"/>
    </row>
    <row r="142" spans="2:9">
      <c r="B142" s="85">
        <v>133</v>
      </c>
      <c r="C142" s="86" t="s">
        <v>159</v>
      </c>
      <c r="D142" s="86" t="s">
        <v>9</v>
      </c>
      <c r="E142" s="86" t="s">
        <v>16</v>
      </c>
      <c r="F142" s="86">
        <v>8066306905</v>
      </c>
      <c r="G142" s="87">
        <v>42598</v>
      </c>
      <c r="H142" s="87"/>
      <c r="I142" s="89"/>
    </row>
    <row r="143" spans="2:9">
      <c r="B143" s="85">
        <v>134</v>
      </c>
      <c r="C143" s="86" t="s">
        <v>164</v>
      </c>
      <c r="D143" s="86" t="s">
        <v>9</v>
      </c>
      <c r="E143" s="86" t="s">
        <v>138</v>
      </c>
      <c r="F143" s="86">
        <v>8065188402</v>
      </c>
      <c r="G143" s="87">
        <v>42598</v>
      </c>
      <c r="H143" s="87"/>
      <c r="I143" s="89"/>
    </row>
    <row r="144" spans="2:9">
      <c r="B144" s="85">
        <v>135</v>
      </c>
      <c r="C144" s="86" t="s">
        <v>214</v>
      </c>
      <c r="D144" s="86" t="s">
        <v>9</v>
      </c>
      <c r="E144" s="86" t="s">
        <v>16</v>
      </c>
      <c r="F144" s="86">
        <v>8039418961</v>
      </c>
      <c r="G144" s="87">
        <v>42600</v>
      </c>
      <c r="H144" s="87"/>
      <c r="I144" s="89"/>
    </row>
    <row r="145" spans="2:9">
      <c r="B145" s="85">
        <v>136</v>
      </c>
      <c r="C145" s="86" t="s">
        <v>190</v>
      </c>
      <c r="D145" s="86" t="s">
        <v>9</v>
      </c>
      <c r="E145" s="86" t="s">
        <v>27</v>
      </c>
      <c r="F145" s="86">
        <v>8135624819</v>
      </c>
      <c r="G145" s="87">
        <v>42601</v>
      </c>
      <c r="H145" s="87"/>
      <c r="I145" s="89"/>
    </row>
    <row r="146" spans="2:9">
      <c r="B146" s="85">
        <v>137</v>
      </c>
      <c r="C146" s="91" t="s">
        <v>221</v>
      </c>
      <c r="D146" s="91" t="s">
        <v>12</v>
      </c>
      <c r="E146" s="91" t="s">
        <v>113</v>
      </c>
      <c r="F146" s="91">
        <v>7066548776</v>
      </c>
      <c r="G146" s="92">
        <v>42602</v>
      </c>
      <c r="H146" s="92"/>
      <c r="I146" s="89"/>
    </row>
    <row r="147" spans="2:9">
      <c r="B147" s="85">
        <v>138</v>
      </c>
      <c r="C147" s="86" t="s">
        <v>272</v>
      </c>
      <c r="D147" s="86" t="s">
        <v>12</v>
      </c>
      <c r="E147" s="86" t="s">
        <v>45</v>
      </c>
      <c r="F147" s="86">
        <v>8169569655</v>
      </c>
      <c r="G147" s="87">
        <v>42603</v>
      </c>
      <c r="H147" s="87"/>
      <c r="I147" s="89"/>
    </row>
    <row r="148" spans="2:9">
      <c r="B148" s="85">
        <v>139</v>
      </c>
      <c r="C148" s="86" t="s">
        <v>160</v>
      </c>
      <c r="D148" s="86" t="s">
        <v>9</v>
      </c>
      <c r="E148" s="86" t="s">
        <v>38</v>
      </c>
      <c r="F148" s="86">
        <v>7031801280</v>
      </c>
      <c r="G148" s="87">
        <v>42605</v>
      </c>
      <c r="H148" s="87"/>
      <c r="I148" s="93"/>
    </row>
    <row r="149" spans="2:9">
      <c r="B149" s="85">
        <v>140</v>
      </c>
      <c r="C149" s="86" t="s">
        <v>176</v>
      </c>
      <c r="D149" s="86" t="s">
        <v>9</v>
      </c>
      <c r="E149" s="86" t="s">
        <v>77</v>
      </c>
      <c r="F149" s="86">
        <v>8136136363</v>
      </c>
      <c r="G149" s="87">
        <v>42605</v>
      </c>
      <c r="H149" s="87"/>
      <c r="I149" s="93"/>
    </row>
    <row r="150" spans="2:9">
      <c r="B150" s="85">
        <v>141</v>
      </c>
      <c r="C150" s="86" t="s">
        <v>18</v>
      </c>
      <c r="D150" s="86" t="s">
        <v>12</v>
      </c>
      <c r="E150" s="86" t="s">
        <v>19</v>
      </c>
      <c r="F150" s="86">
        <v>8137898794</v>
      </c>
      <c r="G150" s="87">
        <v>42609</v>
      </c>
      <c r="H150" s="87"/>
      <c r="I150" s="89"/>
    </row>
    <row r="151" spans="2:9" s="81" customFormat="1">
      <c r="B151" s="82">
        <v>142</v>
      </c>
      <c r="C151" s="83" t="s">
        <v>137</v>
      </c>
      <c r="D151" s="83" t="s">
        <v>9</v>
      </c>
      <c r="E151" s="83" t="s">
        <v>138</v>
      </c>
      <c r="F151" s="83">
        <v>7062590884</v>
      </c>
      <c r="G151" s="84">
        <v>42611</v>
      </c>
      <c r="H151" s="84" t="s">
        <v>303</v>
      </c>
      <c r="I151" s="90"/>
    </row>
    <row r="152" spans="2:9">
      <c r="B152" s="85">
        <v>143</v>
      </c>
      <c r="C152" s="86" t="s">
        <v>128</v>
      </c>
      <c r="D152" s="86" t="s">
        <v>9</v>
      </c>
      <c r="E152" s="86" t="s">
        <v>29</v>
      </c>
      <c r="F152" s="86">
        <v>8162636088</v>
      </c>
      <c r="G152" s="87">
        <v>42615</v>
      </c>
      <c r="H152" s="87"/>
      <c r="I152" s="89"/>
    </row>
    <row r="153" spans="2:9">
      <c r="B153" s="85">
        <v>144</v>
      </c>
      <c r="C153" s="86" t="s">
        <v>191</v>
      </c>
      <c r="D153" s="86" t="s">
        <v>12</v>
      </c>
      <c r="E153" s="86" t="s">
        <v>113</v>
      </c>
      <c r="F153" s="86">
        <v>8037620307</v>
      </c>
      <c r="G153" s="87">
        <v>42619</v>
      </c>
      <c r="H153" s="87"/>
      <c r="I153" s="89"/>
    </row>
    <row r="154" spans="2:9">
      <c r="B154" s="85">
        <v>145</v>
      </c>
      <c r="C154" s="86" t="s">
        <v>56</v>
      </c>
      <c r="D154" s="86" t="s">
        <v>12</v>
      </c>
      <c r="E154" s="86" t="s">
        <v>57</v>
      </c>
      <c r="F154" s="86">
        <v>7031924606</v>
      </c>
      <c r="G154" s="87">
        <v>42625</v>
      </c>
      <c r="H154" s="87"/>
      <c r="I154" s="93"/>
    </row>
    <row r="155" spans="2:9">
      <c r="B155" s="85">
        <v>146</v>
      </c>
      <c r="C155" s="86" t="s">
        <v>153</v>
      </c>
      <c r="D155" s="86" t="s">
        <v>12</v>
      </c>
      <c r="E155" s="86" t="s">
        <v>43</v>
      </c>
      <c r="F155" s="86">
        <v>7065398247</v>
      </c>
      <c r="G155" s="87">
        <v>42627</v>
      </c>
      <c r="H155" s="87"/>
      <c r="I155" s="89"/>
    </row>
    <row r="156" spans="2:9">
      <c r="B156" s="85">
        <v>147</v>
      </c>
      <c r="C156" s="86" t="s">
        <v>36</v>
      </c>
      <c r="D156" s="86" t="s">
        <v>12</v>
      </c>
      <c r="E156" s="86" t="s">
        <v>31</v>
      </c>
      <c r="F156" s="86">
        <v>7065092331</v>
      </c>
      <c r="G156" s="87">
        <v>42630</v>
      </c>
      <c r="H156" s="87"/>
      <c r="I156" s="89"/>
    </row>
    <row r="157" spans="2:9">
      <c r="B157" s="85">
        <v>148</v>
      </c>
      <c r="C157" s="86" t="s">
        <v>98</v>
      </c>
      <c r="D157" s="86" t="s">
        <v>12</v>
      </c>
      <c r="E157" s="86" t="s">
        <v>99</v>
      </c>
      <c r="F157" s="86">
        <v>8165298533</v>
      </c>
      <c r="G157" s="87">
        <v>42631</v>
      </c>
      <c r="H157" s="87"/>
      <c r="I157" s="93"/>
    </row>
    <row r="158" spans="2:9">
      <c r="B158" s="85">
        <v>149</v>
      </c>
      <c r="C158" s="86" t="s">
        <v>155</v>
      </c>
      <c r="D158" s="86" t="s">
        <v>12</v>
      </c>
      <c r="E158" s="86" t="s">
        <v>113</v>
      </c>
      <c r="F158" s="86">
        <v>7036616565</v>
      </c>
      <c r="G158" s="87">
        <v>42631</v>
      </c>
      <c r="H158" s="87"/>
      <c r="I158" s="89"/>
    </row>
    <row r="159" spans="2:9">
      <c r="B159" s="85">
        <v>150</v>
      </c>
      <c r="C159" s="91" t="s">
        <v>227</v>
      </c>
      <c r="D159" s="91" t="s">
        <v>12</v>
      </c>
      <c r="E159" s="91" t="s">
        <v>27</v>
      </c>
      <c r="F159" s="91">
        <v>8067097801</v>
      </c>
      <c r="G159" s="92">
        <v>42633</v>
      </c>
      <c r="H159" s="92"/>
      <c r="I159" s="89"/>
    </row>
    <row r="160" spans="2:9">
      <c r="B160" s="85">
        <v>151</v>
      </c>
      <c r="C160" s="86" t="s">
        <v>35</v>
      </c>
      <c r="D160" s="86" t="s">
        <v>12</v>
      </c>
      <c r="E160" s="86" t="s">
        <v>27</v>
      </c>
      <c r="F160" s="86">
        <v>8105422872</v>
      </c>
      <c r="G160" s="87">
        <v>42634</v>
      </c>
      <c r="H160" s="87"/>
      <c r="I160" s="89"/>
    </row>
    <row r="161" spans="2:9">
      <c r="B161" s="85">
        <v>152</v>
      </c>
      <c r="C161" s="86" t="s">
        <v>240</v>
      </c>
      <c r="D161" s="86" t="s">
        <v>12</v>
      </c>
      <c r="E161" s="86" t="s">
        <v>207</v>
      </c>
      <c r="F161" s="86">
        <v>8139444800</v>
      </c>
      <c r="G161" s="87">
        <v>42634</v>
      </c>
      <c r="H161" s="87"/>
      <c r="I161" s="93"/>
    </row>
    <row r="162" spans="2:9">
      <c r="B162" s="85">
        <v>153</v>
      </c>
      <c r="C162" s="91" t="s">
        <v>235</v>
      </c>
      <c r="D162" s="91" t="s">
        <v>12</v>
      </c>
      <c r="E162" s="91" t="s">
        <v>16</v>
      </c>
      <c r="F162" s="91">
        <v>8162762096</v>
      </c>
      <c r="G162" s="92">
        <v>42641</v>
      </c>
      <c r="H162" s="92"/>
      <c r="I162" s="93"/>
    </row>
    <row r="163" spans="2:9">
      <c r="B163" s="85">
        <v>154</v>
      </c>
      <c r="C163" s="86" t="s">
        <v>73</v>
      </c>
      <c r="D163" s="86" t="s">
        <v>12</v>
      </c>
      <c r="E163" s="86" t="s">
        <v>38</v>
      </c>
      <c r="F163" s="86">
        <v>8035033514</v>
      </c>
      <c r="G163" s="87">
        <v>42644</v>
      </c>
      <c r="H163" s="87"/>
      <c r="I163" s="89"/>
    </row>
    <row r="164" spans="2:9">
      <c r="B164" s="85">
        <v>155</v>
      </c>
      <c r="C164" s="86" t="s">
        <v>197</v>
      </c>
      <c r="D164" s="86" t="s">
        <v>9</v>
      </c>
      <c r="E164" s="86" t="s">
        <v>49</v>
      </c>
      <c r="F164" s="91">
        <v>8108510661</v>
      </c>
      <c r="G164" s="87">
        <v>42645</v>
      </c>
      <c r="H164" s="87"/>
      <c r="I164" s="93"/>
    </row>
    <row r="165" spans="2:9">
      <c r="B165" s="85">
        <v>156</v>
      </c>
      <c r="C165" s="86" t="s">
        <v>241</v>
      </c>
      <c r="D165" s="86" t="s">
        <v>12</v>
      </c>
      <c r="E165" s="86" t="s">
        <v>144</v>
      </c>
      <c r="F165" s="86">
        <v>8130975530</v>
      </c>
      <c r="G165" s="87">
        <v>42650</v>
      </c>
      <c r="H165" s="87"/>
      <c r="I165" s="89"/>
    </row>
    <row r="166" spans="2:9">
      <c r="B166" s="85">
        <v>157</v>
      </c>
      <c r="C166" s="86" t="s">
        <v>154</v>
      </c>
      <c r="D166" s="86" t="s">
        <v>12</v>
      </c>
      <c r="E166" s="86" t="s">
        <v>71</v>
      </c>
      <c r="F166" s="86">
        <v>7034285881</v>
      </c>
      <c r="G166" s="87">
        <v>42653</v>
      </c>
      <c r="H166" s="87"/>
      <c r="I166" s="93"/>
    </row>
    <row r="167" spans="2:9">
      <c r="B167" s="85">
        <v>158</v>
      </c>
      <c r="C167" s="86" t="s">
        <v>170</v>
      </c>
      <c r="D167" s="86" t="s">
        <v>12</v>
      </c>
      <c r="E167" s="86" t="s">
        <v>45</v>
      </c>
      <c r="F167" s="86">
        <v>8134366947</v>
      </c>
      <c r="G167" s="87">
        <v>42658</v>
      </c>
      <c r="H167" s="87"/>
      <c r="I167" s="88"/>
    </row>
    <row r="168" spans="2:9">
      <c r="B168" s="85">
        <v>159</v>
      </c>
      <c r="C168" s="91" t="s">
        <v>269</v>
      </c>
      <c r="D168" s="91" t="s">
        <v>12</v>
      </c>
      <c r="E168" s="91" t="s">
        <v>45</v>
      </c>
      <c r="F168" s="91">
        <v>8134366947</v>
      </c>
      <c r="G168" s="92">
        <v>42658</v>
      </c>
      <c r="H168" s="92"/>
      <c r="I168" s="93"/>
    </row>
    <row r="169" spans="2:9">
      <c r="B169" s="85">
        <v>160</v>
      </c>
      <c r="C169" s="86" t="s">
        <v>114</v>
      </c>
      <c r="D169" s="86" t="s">
        <v>12</v>
      </c>
      <c r="E169" s="86" t="s">
        <v>10</v>
      </c>
      <c r="F169" s="86">
        <v>8139140891</v>
      </c>
      <c r="G169" s="87">
        <v>42659</v>
      </c>
      <c r="H169" s="87" t="s">
        <v>292</v>
      </c>
      <c r="I169" s="89"/>
    </row>
    <row r="170" spans="2:9">
      <c r="B170" s="85">
        <v>160</v>
      </c>
      <c r="C170" s="86" t="s">
        <v>79</v>
      </c>
      <c r="D170" s="86" t="s">
        <v>12</v>
      </c>
      <c r="E170" s="86"/>
      <c r="F170" s="86">
        <v>8039472975</v>
      </c>
      <c r="G170" s="87">
        <v>42661</v>
      </c>
      <c r="H170" s="87"/>
      <c r="I170" s="93"/>
    </row>
    <row r="171" spans="2:9">
      <c r="B171" s="85">
        <v>161</v>
      </c>
      <c r="C171" s="91" t="s">
        <v>262</v>
      </c>
      <c r="D171" s="91" t="s">
        <v>12</v>
      </c>
      <c r="E171" s="91" t="s">
        <v>19</v>
      </c>
      <c r="F171" s="91">
        <v>8146875713</v>
      </c>
      <c r="G171" s="92">
        <v>42661</v>
      </c>
      <c r="H171" s="92"/>
      <c r="I171" s="93"/>
    </row>
    <row r="172" spans="2:9">
      <c r="B172" s="85">
        <v>162</v>
      </c>
      <c r="C172" s="86" t="s">
        <v>208</v>
      </c>
      <c r="D172" s="86" t="s">
        <v>12</v>
      </c>
      <c r="E172" s="86" t="s">
        <v>29</v>
      </c>
      <c r="F172" s="86">
        <v>7038606265</v>
      </c>
      <c r="G172" s="87">
        <v>42662</v>
      </c>
      <c r="H172" s="87"/>
      <c r="I172" s="93"/>
    </row>
    <row r="173" spans="2:9">
      <c r="B173" s="85">
        <v>163</v>
      </c>
      <c r="C173" s="86" t="s">
        <v>89</v>
      </c>
      <c r="D173" s="86" t="s">
        <v>12</v>
      </c>
      <c r="E173" s="86"/>
      <c r="F173" s="86">
        <v>7031800171</v>
      </c>
      <c r="G173" s="87">
        <v>42663</v>
      </c>
      <c r="H173" s="87"/>
      <c r="I173" s="93"/>
    </row>
    <row r="174" spans="2:9">
      <c r="B174" s="85">
        <v>164</v>
      </c>
      <c r="C174" s="91" t="s">
        <v>265</v>
      </c>
      <c r="D174" s="91" t="s">
        <v>9</v>
      </c>
      <c r="E174" s="91" t="s">
        <v>38</v>
      </c>
      <c r="F174" s="91">
        <v>7062739735</v>
      </c>
      <c r="G174" s="92">
        <v>42663</v>
      </c>
      <c r="H174" s="92"/>
      <c r="I174" s="89"/>
    </row>
    <row r="175" spans="2:9">
      <c r="B175" s="85">
        <v>165</v>
      </c>
      <c r="C175" s="86" t="s">
        <v>119</v>
      </c>
      <c r="D175" s="86" t="s">
        <v>12</v>
      </c>
      <c r="E175" s="86" t="s">
        <v>29</v>
      </c>
      <c r="F175" s="86">
        <v>7062337439</v>
      </c>
      <c r="G175" s="87">
        <v>42664</v>
      </c>
      <c r="H175" s="87"/>
      <c r="I175" s="93"/>
    </row>
    <row r="176" spans="2:9">
      <c r="B176" s="85">
        <v>166</v>
      </c>
      <c r="C176" s="86" t="s">
        <v>145</v>
      </c>
      <c r="D176" s="86" t="s">
        <v>12</v>
      </c>
      <c r="E176" s="86" t="s">
        <v>33</v>
      </c>
      <c r="F176" s="86">
        <v>8164024128</v>
      </c>
      <c r="G176" s="87">
        <v>42665</v>
      </c>
      <c r="H176" s="87"/>
      <c r="I176" s="93"/>
    </row>
    <row r="177" spans="2:9">
      <c r="B177" s="85">
        <v>167</v>
      </c>
      <c r="C177" s="86" t="s">
        <v>239</v>
      </c>
      <c r="D177" s="86" t="s">
        <v>12</v>
      </c>
      <c r="E177" s="86" t="s">
        <v>19</v>
      </c>
      <c r="F177" s="86">
        <v>8062582672</v>
      </c>
      <c r="G177" s="87">
        <v>42668</v>
      </c>
      <c r="H177" s="87"/>
      <c r="I177" s="89"/>
    </row>
    <row r="178" spans="2:9">
      <c r="B178" s="85">
        <v>168</v>
      </c>
      <c r="C178" s="86" t="s">
        <v>103</v>
      </c>
      <c r="D178" s="86" t="s">
        <v>9</v>
      </c>
      <c r="E178" s="86"/>
      <c r="F178" s="86">
        <v>9032340060</v>
      </c>
      <c r="G178" s="87">
        <v>42669</v>
      </c>
      <c r="H178" s="87"/>
      <c r="I178" s="93"/>
    </row>
    <row r="179" spans="2:9">
      <c r="B179" s="85">
        <v>169</v>
      </c>
      <c r="C179" s="91" t="s">
        <v>246</v>
      </c>
      <c r="D179" s="91" t="s">
        <v>12</v>
      </c>
      <c r="E179" s="91" t="s">
        <v>38</v>
      </c>
      <c r="F179" s="91">
        <v>7068912907</v>
      </c>
      <c r="G179" s="92">
        <v>42669</v>
      </c>
      <c r="H179" s="92"/>
      <c r="I179" s="93"/>
    </row>
    <row r="180" spans="2:9">
      <c r="B180" s="85">
        <v>170</v>
      </c>
      <c r="C180" s="86" t="s">
        <v>165</v>
      </c>
      <c r="D180" s="86" t="s">
        <v>9</v>
      </c>
      <c r="E180" s="86" t="s">
        <v>27</v>
      </c>
      <c r="F180" s="86">
        <v>8064254154</v>
      </c>
      <c r="G180" s="87">
        <v>42671</v>
      </c>
      <c r="H180" s="87"/>
      <c r="I180" s="89"/>
    </row>
    <row r="181" spans="2:9">
      <c r="B181" s="85">
        <v>171</v>
      </c>
      <c r="C181" s="86" t="s">
        <v>256</v>
      </c>
      <c r="D181" s="86" t="s">
        <v>12</v>
      </c>
      <c r="E181" s="86" t="s">
        <v>71</v>
      </c>
      <c r="F181" s="86">
        <v>8167395197</v>
      </c>
      <c r="G181" s="87">
        <v>42672</v>
      </c>
      <c r="H181" s="87"/>
      <c r="I181" s="89"/>
    </row>
    <row r="182" spans="2:9">
      <c r="B182" s="85">
        <v>172</v>
      </c>
      <c r="C182" s="86" t="s">
        <v>196</v>
      </c>
      <c r="D182" s="86" t="s">
        <v>9</v>
      </c>
      <c r="E182" s="86" t="s">
        <v>96</v>
      </c>
      <c r="F182" s="86">
        <v>8138355473</v>
      </c>
      <c r="G182" s="87">
        <v>42674</v>
      </c>
      <c r="H182" s="87"/>
      <c r="I182" s="89"/>
    </row>
    <row r="183" spans="2:9">
      <c r="B183" s="85">
        <v>173</v>
      </c>
      <c r="C183" s="91" t="s">
        <v>234</v>
      </c>
      <c r="D183" s="91" t="s">
        <v>9</v>
      </c>
      <c r="E183" s="91" t="s">
        <v>218</v>
      </c>
      <c r="F183" s="91">
        <v>7030911116</v>
      </c>
      <c r="G183" s="92">
        <v>42674</v>
      </c>
      <c r="H183" s="92"/>
      <c r="I183" s="93"/>
    </row>
    <row r="184" spans="2:9">
      <c r="B184" s="85">
        <v>174</v>
      </c>
      <c r="C184" s="91" t="s">
        <v>267</v>
      </c>
      <c r="D184" s="91" t="s">
        <v>9</v>
      </c>
      <c r="E184" s="91" t="s">
        <v>132</v>
      </c>
      <c r="F184" s="91">
        <v>8106444077</v>
      </c>
      <c r="G184" s="92">
        <v>42674</v>
      </c>
      <c r="H184" s="92"/>
      <c r="I184" s="89"/>
    </row>
    <row r="185" spans="2:9">
      <c r="B185" s="85">
        <v>175</v>
      </c>
      <c r="C185" s="91" t="s">
        <v>273</v>
      </c>
      <c r="D185" s="94" t="s">
        <v>9</v>
      </c>
      <c r="E185" s="91" t="s">
        <v>10</v>
      </c>
      <c r="F185" s="91">
        <v>8105559710</v>
      </c>
      <c r="G185" s="95">
        <v>42675</v>
      </c>
      <c r="H185" s="95"/>
      <c r="I185" s="93"/>
    </row>
    <row r="186" spans="2:9" s="81" customFormat="1">
      <c r="B186" s="82">
        <v>176</v>
      </c>
      <c r="C186" s="83" t="s">
        <v>115</v>
      </c>
      <c r="D186" s="83" t="s">
        <v>12</v>
      </c>
      <c r="E186" s="83" t="s">
        <v>25</v>
      </c>
      <c r="F186" s="83">
        <v>8132561200</v>
      </c>
      <c r="G186" s="84">
        <v>42677</v>
      </c>
      <c r="H186" s="84" t="s">
        <v>290</v>
      </c>
      <c r="I186" s="98"/>
    </row>
    <row r="187" spans="2:9">
      <c r="B187" s="85">
        <v>177</v>
      </c>
      <c r="C187" s="86" t="s">
        <v>206</v>
      </c>
      <c r="D187" s="86" t="s">
        <v>12</v>
      </c>
      <c r="E187" s="86" t="s">
        <v>207</v>
      </c>
      <c r="F187" s="86">
        <v>7084418236</v>
      </c>
      <c r="G187" s="87">
        <v>42677</v>
      </c>
      <c r="H187" s="87"/>
      <c r="I187" s="93"/>
    </row>
    <row r="188" spans="2:9">
      <c r="B188" s="85">
        <v>178</v>
      </c>
      <c r="C188" s="86" t="s">
        <v>130</v>
      </c>
      <c r="D188" s="86"/>
      <c r="E188" s="86"/>
      <c r="F188" s="86">
        <v>8037536366</v>
      </c>
      <c r="G188" s="87">
        <v>42678</v>
      </c>
      <c r="H188" s="87"/>
      <c r="I188" s="93"/>
    </row>
    <row r="189" spans="2:9">
      <c r="B189" s="85">
        <v>179</v>
      </c>
      <c r="C189" s="86" t="s">
        <v>189</v>
      </c>
      <c r="D189" s="86" t="s">
        <v>12</v>
      </c>
      <c r="E189" s="86" t="s">
        <v>162</v>
      </c>
      <c r="F189" s="86">
        <v>8138821012</v>
      </c>
      <c r="G189" s="87">
        <v>42680</v>
      </c>
      <c r="H189" s="87"/>
      <c r="I189" s="93"/>
    </row>
    <row r="190" spans="2:9">
      <c r="B190" s="85">
        <v>180</v>
      </c>
      <c r="C190" s="86" t="s">
        <v>121</v>
      </c>
      <c r="D190" s="86" t="s">
        <v>12</v>
      </c>
      <c r="E190" s="86"/>
      <c r="F190" s="86">
        <v>7065345766</v>
      </c>
      <c r="G190" s="87">
        <v>42681</v>
      </c>
      <c r="H190" s="87"/>
      <c r="I190" s="93"/>
    </row>
    <row r="191" spans="2:9">
      <c r="B191" s="85">
        <v>181</v>
      </c>
      <c r="C191" s="91" t="s">
        <v>58</v>
      </c>
      <c r="D191" s="86" t="s">
        <v>12</v>
      </c>
      <c r="E191" s="91" t="s">
        <v>21</v>
      </c>
      <c r="F191" s="91">
        <v>8182767903</v>
      </c>
      <c r="G191" s="92">
        <v>42682</v>
      </c>
      <c r="H191" s="92"/>
      <c r="I191" s="89"/>
    </row>
    <row r="192" spans="2:9">
      <c r="B192" s="85">
        <v>182</v>
      </c>
      <c r="C192" s="91" t="s">
        <v>211</v>
      </c>
      <c r="D192" s="91" t="s">
        <v>9</v>
      </c>
      <c r="E192" s="91" t="s">
        <v>16</v>
      </c>
      <c r="F192" s="91">
        <v>7033961624</v>
      </c>
      <c r="G192" s="92">
        <v>42685</v>
      </c>
      <c r="H192" s="92"/>
      <c r="I192" s="89"/>
    </row>
    <row r="193" spans="2:9">
      <c r="B193" s="85">
        <v>183</v>
      </c>
      <c r="C193" s="91" t="s">
        <v>268</v>
      </c>
      <c r="D193" s="91" t="s">
        <v>12</v>
      </c>
      <c r="E193" s="91" t="s">
        <v>19</v>
      </c>
      <c r="F193" s="91">
        <v>7065221986</v>
      </c>
      <c r="G193" s="92">
        <v>42688</v>
      </c>
      <c r="H193" s="92"/>
      <c r="I193" s="93"/>
    </row>
    <row r="194" spans="2:9">
      <c r="B194" s="85">
        <v>184</v>
      </c>
      <c r="C194" s="86" t="s">
        <v>233</v>
      </c>
      <c r="D194" s="86" t="s">
        <v>9</v>
      </c>
      <c r="E194" s="86" t="s">
        <v>96</v>
      </c>
      <c r="F194" s="86">
        <v>7035104384</v>
      </c>
      <c r="G194" s="87">
        <v>42689</v>
      </c>
      <c r="H194" s="87"/>
      <c r="I194" s="93"/>
    </row>
    <row r="195" spans="2:9">
      <c r="B195" s="85">
        <v>185</v>
      </c>
      <c r="C195" s="86" t="s">
        <v>87</v>
      </c>
      <c r="D195" s="86" t="s">
        <v>12</v>
      </c>
      <c r="E195" s="86"/>
      <c r="F195" s="86">
        <v>8139751464</v>
      </c>
      <c r="G195" s="87">
        <v>42694</v>
      </c>
      <c r="H195" s="87"/>
      <c r="I195" s="93"/>
    </row>
    <row r="196" spans="2:9">
      <c r="B196" s="85">
        <v>186</v>
      </c>
      <c r="C196" s="86" t="s">
        <v>236</v>
      </c>
      <c r="D196" s="86" t="s">
        <v>12</v>
      </c>
      <c r="E196" s="86" t="s">
        <v>218</v>
      </c>
      <c r="F196" s="86">
        <v>8069640990</v>
      </c>
      <c r="G196" s="87">
        <v>42694</v>
      </c>
      <c r="H196" s="87"/>
      <c r="I196" s="89"/>
    </row>
    <row r="197" spans="2:9">
      <c r="B197" s="85">
        <v>187</v>
      </c>
      <c r="C197" s="86" t="s">
        <v>259</v>
      </c>
      <c r="D197" s="86" t="s">
        <v>12</v>
      </c>
      <c r="E197" s="86" t="s">
        <v>25</v>
      </c>
      <c r="F197" s="86">
        <v>8060369407</v>
      </c>
      <c r="G197" s="87">
        <v>42696</v>
      </c>
      <c r="H197" s="87"/>
      <c r="I197" s="93"/>
    </row>
    <row r="198" spans="2:9">
      <c r="B198" s="85">
        <v>188</v>
      </c>
      <c r="C198" s="86" t="s">
        <v>142</v>
      </c>
      <c r="D198" s="86" t="s">
        <v>12</v>
      </c>
      <c r="E198" s="86" t="s">
        <v>38</v>
      </c>
      <c r="F198" s="86">
        <v>8033807456</v>
      </c>
      <c r="G198" s="87">
        <v>42701</v>
      </c>
      <c r="H198" s="87"/>
      <c r="I198" s="93"/>
    </row>
    <row r="199" spans="2:9">
      <c r="B199" s="85">
        <v>189</v>
      </c>
      <c r="C199" s="86" t="s">
        <v>203</v>
      </c>
      <c r="D199" s="86" t="s">
        <v>12</v>
      </c>
      <c r="E199" s="86" t="s">
        <v>10</v>
      </c>
      <c r="F199" s="86">
        <v>7061398228</v>
      </c>
      <c r="G199" s="87">
        <v>42706</v>
      </c>
      <c r="H199" s="87"/>
      <c r="I199" s="89"/>
    </row>
    <row r="200" spans="2:9">
      <c r="B200" s="85">
        <v>190</v>
      </c>
      <c r="C200" s="86" t="s">
        <v>263</v>
      </c>
      <c r="D200" s="86" t="s">
        <v>12</v>
      </c>
      <c r="E200" s="86" t="s">
        <v>38</v>
      </c>
      <c r="F200" s="86">
        <v>8135591459</v>
      </c>
      <c r="G200" s="87">
        <v>42706</v>
      </c>
      <c r="H200" s="87"/>
      <c r="I200" s="89"/>
    </row>
    <row r="201" spans="2:9">
      <c r="B201" s="99">
        <v>191</v>
      </c>
      <c r="C201" s="86" t="s">
        <v>24</v>
      </c>
      <c r="D201" s="86" t="s">
        <v>9</v>
      </c>
      <c r="E201" s="86" t="s">
        <v>25</v>
      </c>
      <c r="F201" s="86">
        <v>7062449087</v>
      </c>
      <c r="G201" s="87">
        <v>42709</v>
      </c>
      <c r="H201" s="87"/>
      <c r="I201" s="89"/>
    </row>
    <row r="202" spans="2:9">
      <c r="B202" s="99">
        <v>192</v>
      </c>
      <c r="C202" s="86" t="s">
        <v>188</v>
      </c>
      <c r="D202" s="86" t="s">
        <v>12</v>
      </c>
      <c r="E202" s="86" t="s">
        <v>43</v>
      </c>
      <c r="F202" s="86">
        <v>8066517636</v>
      </c>
      <c r="G202" s="87">
        <v>42709</v>
      </c>
      <c r="H202" s="87"/>
      <c r="I202" s="93"/>
    </row>
    <row r="203" spans="2:9">
      <c r="B203" s="85">
        <v>193</v>
      </c>
      <c r="C203" s="91" t="s">
        <v>275</v>
      </c>
      <c r="D203" s="91" t="s">
        <v>9</v>
      </c>
      <c r="E203" s="91" t="s">
        <v>25</v>
      </c>
      <c r="F203" s="91">
        <v>7062449087</v>
      </c>
      <c r="G203" s="92">
        <v>42709</v>
      </c>
      <c r="H203" s="92"/>
      <c r="I203" s="89"/>
    </row>
    <row r="204" spans="2:9">
      <c r="B204" s="99">
        <v>194</v>
      </c>
      <c r="C204" s="86" t="s">
        <v>251</v>
      </c>
      <c r="D204" s="86" t="s">
        <v>9</v>
      </c>
      <c r="E204" s="86" t="s">
        <v>25</v>
      </c>
      <c r="F204" s="86">
        <v>8065389567</v>
      </c>
      <c r="G204" s="87">
        <v>42710</v>
      </c>
      <c r="H204" s="87"/>
      <c r="I204" s="100"/>
    </row>
    <row r="205" spans="2:9">
      <c r="B205" s="99">
        <v>195</v>
      </c>
      <c r="C205" s="86" t="s">
        <v>80</v>
      </c>
      <c r="D205" s="86" t="s">
        <v>12</v>
      </c>
      <c r="E205" s="86" t="s">
        <v>19</v>
      </c>
      <c r="F205" s="86">
        <v>8136647582</v>
      </c>
      <c r="G205" s="87">
        <v>42715</v>
      </c>
      <c r="H205" s="87"/>
      <c r="I205" s="93"/>
    </row>
    <row r="206" spans="2:9">
      <c r="B206" s="99">
        <v>196</v>
      </c>
      <c r="C206" s="86" t="s">
        <v>150</v>
      </c>
      <c r="D206" s="86" t="s">
        <v>9</v>
      </c>
      <c r="E206" s="86" t="s">
        <v>27</v>
      </c>
      <c r="F206" s="86">
        <v>7038747837</v>
      </c>
      <c r="G206" s="87">
        <v>42715</v>
      </c>
      <c r="H206" s="87"/>
      <c r="I206" s="89"/>
    </row>
    <row r="207" spans="2:9" s="81" customFormat="1">
      <c r="B207" s="82">
        <v>197</v>
      </c>
      <c r="C207" s="96" t="s">
        <v>254</v>
      </c>
      <c r="D207" s="96" t="s">
        <v>12</v>
      </c>
      <c r="E207" s="96" t="s">
        <v>77</v>
      </c>
      <c r="F207" s="96">
        <v>7065312405</v>
      </c>
      <c r="G207" s="97">
        <v>42716</v>
      </c>
      <c r="H207" s="97" t="s">
        <v>284</v>
      </c>
      <c r="I207" s="98"/>
    </row>
    <row r="208" spans="2:9">
      <c r="B208" s="85">
        <v>198</v>
      </c>
      <c r="C208" s="86" t="s">
        <v>37</v>
      </c>
      <c r="D208" s="86" t="s">
        <v>9</v>
      </c>
      <c r="E208" s="86" t="s">
        <v>38</v>
      </c>
      <c r="F208" s="86">
        <v>8062573726</v>
      </c>
      <c r="G208" s="87">
        <v>42728</v>
      </c>
      <c r="H208" s="87"/>
      <c r="I208" s="93"/>
    </row>
    <row r="209" spans="2:9">
      <c r="B209" s="85">
        <v>199</v>
      </c>
      <c r="C209" s="86" t="s">
        <v>74</v>
      </c>
      <c r="D209" s="86" t="s">
        <v>12</v>
      </c>
      <c r="E209" s="86" t="s">
        <v>75</v>
      </c>
      <c r="F209" s="86">
        <v>8060081790</v>
      </c>
      <c r="G209" s="87">
        <v>42729</v>
      </c>
      <c r="H209" s="87"/>
      <c r="I209" s="93"/>
    </row>
    <row r="210" spans="2:9">
      <c r="B210" s="85">
        <v>200</v>
      </c>
      <c r="C210" s="91" t="s">
        <v>248</v>
      </c>
      <c r="D210" s="91" t="s">
        <v>9</v>
      </c>
      <c r="E210" s="91" t="s">
        <v>96</v>
      </c>
      <c r="F210" s="91">
        <v>8108008669</v>
      </c>
      <c r="G210" s="92">
        <v>42734</v>
      </c>
      <c r="H210" s="92"/>
      <c r="I210" s="89"/>
    </row>
    <row r="211" spans="2:9">
      <c r="B211" s="85">
        <v>201</v>
      </c>
      <c r="C211" s="91" t="s">
        <v>238</v>
      </c>
      <c r="D211" s="91" t="s">
        <v>9</v>
      </c>
      <c r="E211" s="91" t="s">
        <v>43</v>
      </c>
      <c r="F211" s="91">
        <v>8066324067</v>
      </c>
      <c r="G211" s="92">
        <v>42735</v>
      </c>
      <c r="H211" s="92"/>
      <c r="I211" s="89"/>
    </row>
    <row r="212" spans="2:9">
      <c r="B212" s="85">
        <v>202</v>
      </c>
      <c r="C212" s="86" t="s">
        <v>66</v>
      </c>
      <c r="D212" s="86"/>
      <c r="E212" s="86"/>
      <c r="F212" s="86">
        <v>816922964</v>
      </c>
      <c r="G212" s="86"/>
      <c r="H212" s="86"/>
      <c r="I212" s="89"/>
    </row>
    <row r="213" spans="2:9">
      <c r="B213" s="85">
        <v>203</v>
      </c>
      <c r="C213" s="86" t="s">
        <v>226</v>
      </c>
      <c r="D213" s="86" t="s">
        <v>12</v>
      </c>
      <c r="E213" s="86" t="s">
        <v>21</v>
      </c>
      <c r="F213" s="86">
        <v>8108688523</v>
      </c>
      <c r="G213" s="86"/>
      <c r="H213" s="86"/>
      <c r="I213" s="100"/>
    </row>
    <row r="214" spans="2:9" s="101" customFormat="1" ht="14.25">
      <c r="B214" s="82">
        <v>204</v>
      </c>
      <c r="C214" s="83" t="s">
        <v>26</v>
      </c>
      <c r="D214" s="83" t="s">
        <v>9</v>
      </c>
      <c r="E214" s="83" t="s">
        <v>27</v>
      </c>
      <c r="F214" s="83">
        <v>8038355233</v>
      </c>
      <c r="G214" s="84">
        <v>42541</v>
      </c>
      <c r="H214" s="83" t="s">
        <v>293</v>
      </c>
      <c r="I214" s="102"/>
    </row>
    <row r="215" spans="2:9">
      <c r="B215" s="103"/>
      <c r="C215" s="104"/>
      <c r="D215" s="104"/>
      <c r="E215" s="104"/>
      <c r="F215" s="104"/>
      <c r="G215" s="104"/>
      <c r="H215" s="104"/>
      <c r="I215" s="93"/>
    </row>
    <row r="216" spans="2:9">
      <c r="B216" s="103"/>
      <c r="C216" s="104"/>
      <c r="D216" s="104"/>
      <c r="E216" s="104"/>
      <c r="F216" s="104"/>
      <c r="G216" s="104"/>
      <c r="H216" s="104"/>
      <c r="I216" s="89"/>
    </row>
    <row r="217" spans="2:9">
      <c r="B217" s="103"/>
      <c r="C217" s="104"/>
      <c r="D217" s="104"/>
      <c r="E217" s="104"/>
      <c r="F217" s="104"/>
      <c r="G217" s="104"/>
      <c r="H217" s="104"/>
      <c r="I217" s="88"/>
    </row>
    <row r="218" spans="2:9">
      <c r="B218" s="103"/>
      <c r="C218" s="104"/>
      <c r="D218" s="104"/>
      <c r="E218" s="104"/>
      <c r="F218" s="104"/>
      <c r="G218" s="104"/>
      <c r="H218" s="104"/>
      <c r="I218" s="88"/>
    </row>
    <row r="219" spans="2:9">
      <c r="B219" s="103"/>
      <c r="C219" s="104"/>
      <c r="D219" s="104"/>
      <c r="E219" s="104"/>
      <c r="F219" s="104"/>
      <c r="G219" s="104"/>
      <c r="H219" s="104"/>
      <c r="I219" s="88"/>
    </row>
    <row r="220" spans="2:9">
      <c r="B220" s="103"/>
      <c r="C220" s="104"/>
      <c r="D220" s="104"/>
      <c r="E220" s="104"/>
      <c r="F220" s="104"/>
      <c r="G220" s="104"/>
      <c r="H220" s="104"/>
      <c r="I220" s="88"/>
    </row>
    <row r="221" spans="2:9">
      <c r="B221" s="103"/>
      <c r="C221" s="104"/>
      <c r="D221" s="104"/>
      <c r="E221" s="104"/>
      <c r="F221" s="104"/>
      <c r="G221" s="104"/>
      <c r="H221" s="104"/>
      <c r="I221" s="88"/>
    </row>
    <row r="222" spans="2:9">
      <c r="B222" s="103"/>
      <c r="C222" s="104"/>
      <c r="D222" s="104"/>
      <c r="E222" s="104"/>
      <c r="F222" s="104"/>
      <c r="G222" s="104"/>
      <c r="H222" s="104"/>
      <c r="I222" s="88"/>
    </row>
    <row r="223" spans="2:9">
      <c r="B223" s="103"/>
      <c r="C223" s="104"/>
      <c r="D223" s="104"/>
      <c r="E223" s="104"/>
      <c r="F223" s="104"/>
      <c r="G223" s="104"/>
      <c r="H223" s="104"/>
      <c r="I223" s="88"/>
    </row>
    <row r="224" spans="2:9">
      <c r="B224" s="103"/>
      <c r="C224" s="104"/>
      <c r="D224" s="104"/>
      <c r="E224" s="104"/>
      <c r="F224" s="104"/>
      <c r="G224" s="104"/>
      <c r="H224" s="104"/>
      <c r="I224" s="88"/>
    </row>
    <row r="225" spans="2:9">
      <c r="B225" s="103"/>
      <c r="C225" s="104"/>
      <c r="D225" s="104"/>
      <c r="E225" s="104"/>
      <c r="F225" s="104"/>
      <c r="G225" s="104"/>
      <c r="H225" s="104"/>
      <c r="I225" s="88"/>
    </row>
    <row r="226" spans="2:9">
      <c r="B226" s="103"/>
      <c r="C226" s="104"/>
      <c r="D226" s="104"/>
      <c r="E226" s="104"/>
      <c r="F226" s="104"/>
      <c r="G226" s="104"/>
      <c r="H226" s="104"/>
      <c r="I226" s="88"/>
    </row>
    <row r="227" spans="2:9">
      <c r="B227" s="103"/>
      <c r="C227" s="104"/>
      <c r="D227" s="104"/>
      <c r="E227" s="104"/>
      <c r="F227" s="104"/>
      <c r="G227" s="104"/>
      <c r="H227" s="104"/>
      <c r="I227" s="88"/>
    </row>
    <row r="228" spans="2:9">
      <c r="B228" s="105"/>
      <c r="I228" s="88"/>
    </row>
    <row r="229" spans="2:9">
      <c r="I229" s="88"/>
    </row>
    <row r="230" spans="2:9">
      <c r="I230" s="88"/>
    </row>
    <row r="231" spans="2:9">
      <c r="I231" s="88"/>
    </row>
    <row r="232" spans="2:9">
      <c r="I232" s="89"/>
    </row>
    <row r="233" spans="2:9">
      <c r="I233" s="89"/>
    </row>
    <row r="234" spans="2:9">
      <c r="I234" s="89"/>
    </row>
    <row r="235" spans="2:9">
      <c r="I235" s="89"/>
    </row>
    <row r="236" spans="2:9">
      <c r="I236" s="89"/>
    </row>
    <row r="237" spans="2:9">
      <c r="I237" s="89"/>
    </row>
    <row r="238" spans="2:9">
      <c r="I238" s="89"/>
    </row>
    <row r="239" spans="2:9">
      <c r="I239" s="89"/>
    </row>
    <row r="240" spans="2:9">
      <c r="I240" s="89"/>
    </row>
    <row r="241" spans="9:9">
      <c r="I241" s="89"/>
    </row>
    <row r="242" spans="9:9">
      <c r="I242" s="89"/>
    </row>
    <row r="243" spans="9:9">
      <c r="I243" s="89"/>
    </row>
    <row r="244" spans="9:9">
      <c r="I244" s="89"/>
    </row>
    <row r="245" spans="9:9">
      <c r="I245" s="89"/>
    </row>
    <row r="246" spans="9:9">
      <c r="I246" s="89"/>
    </row>
    <row r="247" spans="9:9">
      <c r="I247" s="89"/>
    </row>
    <row r="248" spans="9:9">
      <c r="I248" s="89"/>
    </row>
    <row r="249" spans="9:9">
      <c r="I249" s="89"/>
    </row>
    <row r="250" spans="9:9">
      <c r="I250" s="89"/>
    </row>
    <row r="251" spans="9:9">
      <c r="I251" s="89"/>
    </row>
    <row r="252" spans="9:9">
      <c r="I252" s="89"/>
    </row>
    <row r="253" spans="9:9">
      <c r="I253" s="89"/>
    </row>
    <row r="254" spans="9:9">
      <c r="I254" s="89"/>
    </row>
    <row r="255" spans="9:9">
      <c r="I255" s="89"/>
    </row>
    <row r="256" spans="9:9">
      <c r="I256" s="89"/>
    </row>
    <row r="257" spans="9:9">
      <c r="I257" s="89"/>
    </row>
    <row r="258" spans="9:9">
      <c r="I258" s="89"/>
    </row>
    <row r="259" spans="9:9">
      <c r="I259" s="89"/>
    </row>
    <row r="260" spans="9:9">
      <c r="I260" s="93"/>
    </row>
    <row r="261" spans="9:9">
      <c r="I261" s="89"/>
    </row>
    <row r="262" spans="9:9">
      <c r="I262" s="89"/>
    </row>
    <row r="263" spans="9:9">
      <c r="I263" s="89"/>
    </row>
    <row r="264" spans="9:9">
      <c r="I264" s="88"/>
    </row>
    <row r="265" spans="9:9">
      <c r="I265" s="89"/>
    </row>
    <row r="266" spans="9:9">
      <c r="I266" s="89"/>
    </row>
    <row r="267" spans="9:9">
      <c r="I267" s="89"/>
    </row>
    <row r="268" spans="9:9">
      <c r="I268" s="89"/>
    </row>
    <row r="269" spans="9:9">
      <c r="I269" s="89"/>
    </row>
    <row r="270" spans="9:9">
      <c r="I270" s="89"/>
    </row>
    <row r="271" spans="9:9">
      <c r="I271" s="89"/>
    </row>
    <row r="272" spans="9:9">
      <c r="I272" s="89"/>
    </row>
    <row r="273" spans="9:9">
      <c r="I273" s="89"/>
    </row>
    <row r="274" spans="9:9">
      <c r="I274" s="89"/>
    </row>
    <row r="275" spans="9:9">
      <c r="I275" s="89"/>
    </row>
    <row r="276" spans="9:9">
      <c r="I276" s="89"/>
    </row>
    <row r="277" spans="9:9">
      <c r="I277" s="89"/>
    </row>
    <row r="278" spans="9:9">
      <c r="I278" s="89"/>
    </row>
    <row r="279" spans="9:9">
      <c r="I279" s="89"/>
    </row>
    <row r="280" spans="9:9">
      <c r="I280" s="89"/>
    </row>
    <row r="281" spans="9:9">
      <c r="I281" s="89"/>
    </row>
    <row r="282" spans="9:9">
      <c r="I282" s="89"/>
    </row>
    <row r="283" spans="9:9">
      <c r="I283" s="89"/>
    </row>
    <row r="284" spans="9:9">
      <c r="I284" s="89"/>
    </row>
    <row r="285" spans="9:9">
      <c r="I285" s="89"/>
    </row>
    <row r="286" spans="9:9">
      <c r="I286" s="89"/>
    </row>
    <row r="287" spans="9:9">
      <c r="I287" s="89"/>
    </row>
    <row r="288" spans="9:9">
      <c r="I288" s="89"/>
    </row>
    <row r="289" spans="9:9">
      <c r="I289" s="89"/>
    </row>
    <row r="290" spans="9:9">
      <c r="I290" s="89"/>
    </row>
    <row r="291" spans="9:9">
      <c r="I291" s="89"/>
    </row>
    <row r="292" spans="9:9">
      <c r="I292" s="89"/>
    </row>
    <row r="293" spans="9:9">
      <c r="I293" s="89"/>
    </row>
    <row r="294" spans="9:9">
      <c r="I294" s="89"/>
    </row>
    <row r="295" spans="9:9">
      <c r="I295" s="89"/>
    </row>
    <row r="296" spans="9:9">
      <c r="I296" s="89"/>
    </row>
    <row r="297" spans="9:9">
      <c r="I297" s="89"/>
    </row>
    <row r="298" spans="9:9">
      <c r="I298" s="89"/>
    </row>
    <row r="299" spans="9:9">
      <c r="I299" s="89"/>
    </row>
    <row r="300" spans="9:9">
      <c r="I300" s="89"/>
    </row>
    <row r="301" spans="9:9">
      <c r="I301" s="89"/>
    </row>
    <row r="302" spans="9:9">
      <c r="I302" s="89"/>
    </row>
    <row r="303" spans="9:9">
      <c r="I303" s="89"/>
    </row>
    <row r="304" spans="9:9">
      <c r="I304" s="89"/>
    </row>
    <row r="305" spans="9:9">
      <c r="I305" s="89"/>
    </row>
    <row r="306" spans="9:9">
      <c r="I306" s="89"/>
    </row>
    <row r="307" spans="9:9">
      <c r="I307" s="89"/>
    </row>
    <row r="308" spans="9:9">
      <c r="I308" s="89"/>
    </row>
    <row r="309" spans="9:9">
      <c r="I309" s="89"/>
    </row>
    <row r="310" spans="9:9">
      <c r="I310" s="89"/>
    </row>
    <row r="311" spans="9:9">
      <c r="I311" s="89"/>
    </row>
    <row r="312" spans="9:9">
      <c r="I312" s="89"/>
    </row>
    <row r="313" spans="9:9">
      <c r="I313" s="89"/>
    </row>
    <row r="314" spans="9:9">
      <c r="I314" s="89"/>
    </row>
    <row r="315" spans="9:9">
      <c r="I315" s="89"/>
    </row>
    <row r="316" spans="9:9">
      <c r="I316" s="89"/>
    </row>
    <row r="317" spans="9:9">
      <c r="I317" s="89"/>
    </row>
    <row r="318" spans="9:9">
      <c r="I318" s="89"/>
    </row>
    <row r="319" spans="9:9">
      <c r="I319" s="89"/>
    </row>
    <row r="320" spans="9:9">
      <c r="I320" s="89"/>
    </row>
    <row r="321" spans="9:9">
      <c r="I321" s="89"/>
    </row>
    <row r="322" spans="9:9">
      <c r="I322" s="89"/>
    </row>
    <row r="323" spans="9:9">
      <c r="I323" s="89"/>
    </row>
    <row r="324" spans="9:9">
      <c r="I324" s="89"/>
    </row>
    <row r="325" spans="9:9">
      <c r="I325" s="89"/>
    </row>
    <row r="326" spans="9:9">
      <c r="I326" s="89"/>
    </row>
    <row r="327" spans="9:9">
      <c r="I327" s="89"/>
    </row>
    <row r="328" spans="9:9">
      <c r="I328" s="89"/>
    </row>
    <row r="329" spans="9:9">
      <c r="I329" s="89"/>
    </row>
    <row r="330" spans="9:9">
      <c r="I330" s="89"/>
    </row>
    <row r="331" spans="9:9">
      <c r="I331" s="89"/>
    </row>
    <row r="332" spans="9:9">
      <c r="I332" s="89"/>
    </row>
    <row r="333" spans="9:9">
      <c r="I333" s="89"/>
    </row>
    <row r="334" spans="9:9">
      <c r="I334" s="89"/>
    </row>
    <row r="335" spans="9:9">
      <c r="I335" s="89"/>
    </row>
    <row r="336" spans="9:9">
      <c r="I336" s="89"/>
    </row>
    <row r="337" spans="9:9">
      <c r="I337" s="89"/>
    </row>
    <row r="338" spans="9:9">
      <c r="I338" s="89"/>
    </row>
    <row r="339" spans="9:9">
      <c r="I339" s="89"/>
    </row>
    <row r="340" spans="9:9">
      <c r="I340" s="89"/>
    </row>
    <row r="341" spans="9:9">
      <c r="I341" s="89"/>
    </row>
    <row r="342" spans="9:9">
      <c r="I342" s="89"/>
    </row>
    <row r="343" spans="9:9">
      <c r="I343" s="89"/>
    </row>
    <row r="344" spans="9:9">
      <c r="I344" s="89"/>
    </row>
    <row r="345" spans="9:9">
      <c r="I345" s="89"/>
    </row>
    <row r="346" spans="9:9">
      <c r="I346" s="89"/>
    </row>
    <row r="347" spans="9:9">
      <c r="I347" s="89"/>
    </row>
    <row r="348" spans="9:9">
      <c r="I348" s="89"/>
    </row>
    <row r="349" spans="9:9">
      <c r="I349" s="89"/>
    </row>
    <row r="350" spans="9:9">
      <c r="I350" s="89"/>
    </row>
    <row r="351" spans="9:9">
      <c r="I351" s="89"/>
    </row>
    <row r="352" spans="9:9">
      <c r="I352" s="89"/>
    </row>
    <row r="353" spans="9:9">
      <c r="I353" s="89"/>
    </row>
    <row r="354" spans="9:9">
      <c r="I354" s="89"/>
    </row>
    <row r="355" spans="9:9">
      <c r="I355" s="89"/>
    </row>
    <row r="356" spans="9:9">
      <c r="I356" s="89"/>
    </row>
    <row r="357" spans="9:9">
      <c r="I357" s="89"/>
    </row>
    <row r="358" spans="9:9">
      <c r="I358" s="89"/>
    </row>
    <row r="359" spans="9:9">
      <c r="I359" s="89"/>
    </row>
    <row r="360" spans="9:9">
      <c r="I360" s="89"/>
    </row>
    <row r="361" spans="9:9">
      <c r="I361" s="89"/>
    </row>
    <row r="362" spans="9:9">
      <c r="I362" s="89"/>
    </row>
    <row r="363" spans="9:9">
      <c r="I363" s="89"/>
    </row>
    <row r="364" spans="9:9">
      <c r="I364" s="89"/>
    </row>
    <row r="365" spans="9:9">
      <c r="I365" s="89"/>
    </row>
    <row r="366" spans="9:9">
      <c r="I366" s="89"/>
    </row>
    <row r="367" spans="9:9">
      <c r="I367" s="93"/>
    </row>
    <row r="368" spans="9:9">
      <c r="I368" s="93"/>
    </row>
    <row r="369" spans="9:9">
      <c r="I369" s="89"/>
    </row>
    <row r="370" spans="9:9">
      <c r="I370" s="89"/>
    </row>
    <row r="371" spans="9:9">
      <c r="I371" s="89"/>
    </row>
    <row r="372" spans="9:9">
      <c r="I372" s="89"/>
    </row>
    <row r="373" spans="9:9">
      <c r="I373" s="93"/>
    </row>
    <row r="374" spans="9:9">
      <c r="I374" s="89"/>
    </row>
    <row r="375" spans="9:9">
      <c r="I375" s="89"/>
    </row>
    <row r="376" spans="9:9">
      <c r="I376" s="93"/>
    </row>
    <row r="377" spans="9:9">
      <c r="I377" s="89"/>
    </row>
    <row r="378" spans="9:9">
      <c r="I378" s="89"/>
    </row>
    <row r="379" spans="9:9">
      <c r="I379" s="89"/>
    </row>
    <row r="380" spans="9:9">
      <c r="I380" s="93"/>
    </row>
    <row r="381" spans="9:9">
      <c r="I381" s="93"/>
    </row>
    <row r="382" spans="9:9">
      <c r="I382" s="89"/>
    </row>
    <row r="383" spans="9:9">
      <c r="I383" s="93"/>
    </row>
    <row r="384" spans="9:9">
      <c r="I384" s="89"/>
    </row>
    <row r="385" spans="9:9">
      <c r="I385" s="93"/>
    </row>
    <row r="386" spans="9:9">
      <c r="I386" s="88"/>
    </row>
    <row r="387" spans="9:9">
      <c r="I387" s="93"/>
    </row>
    <row r="388" spans="9:9">
      <c r="I388" s="89"/>
    </row>
    <row r="389" spans="9:9">
      <c r="I389" s="93"/>
    </row>
    <row r="390" spans="9:9">
      <c r="I390" s="93"/>
    </row>
    <row r="391" spans="9:9">
      <c r="I391" s="93"/>
    </row>
    <row r="392" spans="9:9">
      <c r="I392" s="93"/>
    </row>
    <row r="393" spans="9:9">
      <c r="I393" s="89"/>
    </row>
    <row r="394" spans="9:9">
      <c r="I394" s="93"/>
    </row>
    <row r="395" spans="9:9">
      <c r="I395" s="93"/>
    </row>
    <row r="396" spans="9:9">
      <c r="I396" s="89"/>
    </row>
    <row r="397" spans="9:9">
      <c r="I397" s="93"/>
    </row>
    <row r="398" spans="9:9">
      <c r="I398" s="93"/>
    </row>
    <row r="399" spans="9:9">
      <c r="I399" s="89"/>
    </row>
    <row r="400" spans="9:9">
      <c r="I400" s="89"/>
    </row>
    <row r="401" spans="9:9">
      <c r="I401" s="89"/>
    </row>
    <row r="402" spans="9:9">
      <c r="I402" s="93"/>
    </row>
    <row r="403" spans="9:9">
      <c r="I403" s="89"/>
    </row>
    <row r="404" spans="9:9">
      <c r="I404" s="93"/>
    </row>
    <row r="405" spans="9:9">
      <c r="I405" s="93"/>
    </row>
    <row r="406" spans="9:9">
      <c r="I406" s="93"/>
    </row>
    <row r="407" spans="9:9">
      <c r="I407" s="93"/>
    </row>
    <row r="408" spans="9:9">
      <c r="I408" s="93"/>
    </row>
    <row r="409" spans="9:9">
      <c r="I409" s="93"/>
    </row>
    <row r="410" spans="9:9">
      <c r="I410" s="89"/>
    </row>
    <row r="411" spans="9:9">
      <c r="I411" s="89"/>
    </row>
    <row r="412" spans="9:9">
      <c r="I412" s="93"/>
    </row>
    <row r="413" spans="9:9">
      <c r="I413" s="93"/>
    </row>
    <row r="414" spans="9:9">
      <c r="I414" s="93"/>
    </row>
    <row r="415" spans="9:9">
      <c r="I415" s="89"/>
    </row>
    <row r="416" spans="9:9">
      <c r="I416" s="93"/>
    </row>
    <row r="417" spans="9:9">
      <c r="I417" s="93"/>
    </row>
    <row r="418" spans="9:9">
      <c r="I418" s="89"/>
    </row>
    <row r="419" spans="9:9">
      <c r="I419" s="89"/>
    </row>
    <row r="420" spans="9:9">
      <c r="I420" s="89"/>
    </row>
    <row r="421" spans="9:9">
      <c r="I421" s="93"/>
    </row>
    <row r="422" spans="9:9">
      <c r="I422" s="89"/>
    </row>
    <row r="423" spans="9:9">
      <c r="I423" s="100"/>
    </row>
    <row r="424" spans="9:9">
      <c r="I424" s="93"/>
    </row>
    <row r="425" spans="9:9">
      <c r="I425" s="89"/>
    </row>
    <row r="426" spans="9:9">
      <c r="I426" s="93"/>
    </row>
    <row r="427" spans="9:9">
      <c r="I427" s="93"/>
    </row>
    <row r="428" spans="9:9">
      <c r="I428" s="93"/>
    </row>
    <row r="429" spans="9:9">
      <c r="I429" s="89"/>
    </row>
    <row r="430" spans="9:9">
      <c r="I430" s="89"/>
    </row>
    <row r="431" spans="9:9">
      <c r="I431" s="89"/>
    </row>
    <row r="432" spans="9:9">
      <c r="I432" s="100"/>
    </row>
    <row r="433" spans="9:9">
      <c r="I433" s="93"/>
    </row>
    <row r="434" spans="9:9">
      <c r="I434" s="93"/>
    </row>
    <row r="435" spans="9:9">
      <c r="I435" s="89"/>
    </row>
    <row r="436" spans="9:9">
      <c r="I436" s="88"/>
    </row>
    <row r="437" spans="9:9">
      <c r="I437" s="88"/>
    </row>
    <row r="438" spans="9:9">
      <c r="I438" s="88"/>
    </row>
    <row r="439" spans="9:9">
      <c r="I439" s="88"/>
    </row>
    <row r="440" spans="9:9">
      <c r="I440" s="88"/>
    </row>
    <row r="441" spans="9:9">
      <c r="I441" s="88"/>
    </row>
    <row r="442" spans="9:9">
      <c r="I442" s="88"/>
    </row>
    <row r="443" spans="9:9">
      <c r="I443" s="88"/>
    </row>
    <row r="444" spans="9:9">
      <c r="I444" s="88"/>
    </row>
    <row r="445" spans="9:9">
      <c r="I445" s="88"/>
    </row>
    <row r="446" spans="9:9">
      <c r="I446" s="88"/>
    </row>
    <row r="447" spans="9:9">
      <c r="I447" s="88"/>
    </row>
    <row r="448" spans="9:9">
      <c r="I448" s="88"/>
    </row>
    <row r="449" spans="9:9">
      <c r="I449" s="88"/>
    </row>
  </sheetData>
  <pageMargins left="0.19685039370078741" right="0.19685039370078741" top="0.39370078740157483" bottom="0.74803149606299213" header="0.39370078740157483" footer="0.31496062992125984"/>
</worksheet>
</file>

<file path=xl/worksheets/sheet6.xml><?xml version="1.0" encoding="utf-8"?>
<worksheet xmlns="http://schemas.openxmlformats.org/spreadsheetml/2006/main" xmlns:r="http://schemas.openxmlformats.org/officeDocument/2006/relationships">
  <dimension ref="B3:I169"/>
  <sheetViews>
    <sheetView topLeftCell="B155" workbookViewId="0">
      <selection activeCell="E11" sqref="E11:E169"/>
    </sheetView>
  </sheetViews>
  <sheetFormatPr defaultColWidth="9" defaultRowHeight="15"/>
  <cols>
    <col min="1" max="1" width="8.5703125" customWidth="1"/>
    <col min="2" max="2" width="5.140625" style="106" customWidth="1"/>
    <col min="3" max="3" width="26.85546875" customWidth="1"/>
    <col min="4" max="4" width="8.28515625" customWidth="1"/>
    <col min="5" max="5" width="13.7109375" customWidth="1"/>
    <col min="6" max="6" width="28.28515625" customWidth="1"/>
    <col min="7" max="8" width="8.5703125" customWidth="1"/>
    <col min="9" max="9" width="17.7109375" customWidth="1"/>
    <col min="10" max="256" width="8.5703125" customWidth="1"/>
  </cols>
  <sheetData>
    <row r="3" spans="2:9" ht="15.75">
      <c r="E3" s="42"/>
      <c r="F3" s="43"/>
      <c r="G3" s="44" t="s">
        <v>0</v>
      </c>
    </row>
    <row r="4" spans="2:9" ht="15.75">
      <c r="E4" s="42"/>
      <c r="F4" s="43"/>
      <c r="G4" s="44" t="s">
        <v>1</v>
      </c>
    </row>
    <row r="5" spans="2:9" ht="15.75">
      <c r="E5" s="42"/>
      <c r="F5" s="45"/>
      <c r="G5" s="46" t="s">
        <v>2</v>
      </c>
    </row>
    <row r="6" spans="2:9" ht="15.75">
      <c r="D6" s="42"/>
      <c r="E6" s="45"/>
      <c r="G6" s="42"/>
    </row>
    <row r="7" spans="2:9">
      <c r="D7" s="60" t="s">
        <v>947</v>
      </c>
      <c r="E7" s="61"/>
      <c r="F7" s="61"/>
      <c r="G7" s="61"/>
    </row>
    <row r="8" spans="2:9" ht="15.75">
      <c r="D8" s="62" t="s">
        <v>948</v>
      </c>
      <c r="E8" s="61"/>
      <c r="F8" s="61"/>
      <c r="G8" s="61"/>
    </row>
    <row r="10" spans="2:9">
      <c r="B10" s="107" t="s">
        <v>3</v>
      </c>
      <c r="C10" s="108" t="s">
        <v>4</v>
      </c>
      <c r="D10" s="107" t="s">
        <v>7</v>
      </c>
      <c r="E10" s="107" t="s">
        <v>556</v>
      </c>
      <c r="F10" s="107" t="s">
        <v>557</v>
      </c>
      <c r="G10" s="109" t="s">
        <v>558</v>
      </c>
      <c r="H10" s="110" t="s">
        <v>6</v>
      </c>
      <c r="I10" s="107" t="s">
        <v>545</v>
      </c>
    </row>
    <row r="11" spans="2:9">
      <c r="B11" s="111">
        <v>1</v>
      </c>
      <c r="C11" s="112" t="s">
        <v>559</v>
      </c>
      <c r="D11" s="111" t="s">
        <v>77</v>
      </c>
      <c r="E11" s="113">
        <v>7068347197</v>
      </c>
      <c r="F11" s="114" t="s">
        <v>560</v>
      </c>
      <c r="G11" s="115">
        <v>40590</v>
      </c>
      <c r="H11" s="111" t="s">
        <v>561</v>
      </c>
      <c r="I11" s="111" t="s">
        <v>319</v>
      </c>
    </row>
    <row r="12" spans="2:9">
      <c r="B12" s="111">
        <v>2</v>
      </c>
      <c r="C12" s="112" t="s">
        <v>562</v>
      </c>
      <c r="D12" s="111" t="s">
        <v>75</v>
      </c>
      <c r="E12" s="116" t="s">
        <v>563</v>
      </c>
      <c r="F12" s="114" t="s">
        <v>564</v>
      </c>
      <c r="G12" s="115">
        <v>41987</v>
      </c>
      <c r="H12" s="111" t="s">
        <v>561</v>
      </c>
      <c r="I12" s="111" t="s">
        <v>319</v>
      </c>
    </row>
    <row r="13" spans="2:9">
      <c r="B13" s="111">
        <v>3</v>
      </c>
      <c r="C13" s="112" t="s">
        <v>565</v>
      </c>
      <c r="D13" s="111" t="s">
        <v>21</v>
      </c>
      <c r="E13" s="116" t="s">
        <v>566</v>
      </c>
      <c r="F13" s="114" t="s">
        <v>567</v>
      </c>
      <c r="G13" s="115">
        <v>41776</v>
      </c>
      <c r="H13" s="111" t="s">
        <v>568</v>
      </c>
      <c r="I13" s="111" t="s">
        <v>319</v>
      </c>
    </row>
    <row r="14" spans="2:9">
      <c r="B14" s="111">
        <v>4</v>
      </c>
      <c r="C14" s="112" t="s">
        <v>569</v>
      </c>
      <c r="D14" s="111" t="s">
        <v>14</v>
      </c>
      <c r="E14" s="116" t="s">
        <v>570</v>
      </c>
      <c r="F14" s="114" t="s">
        <v>571</v>
      </c>
      <c r="G14" s="115">
        <v>41911</v>
      </c>
      <c r="H14" s="111" t="s">
        <v>568</v>
      </c>
      <c r="I14" s="111" t="s">
        <v>325</v>
      </c>
    </row>
    <row r="15" spans="2:9">
      <c r="B15" s="111">
        <v>5</v>
      </c>
      <c r="C15" s="112" t="s">
        <v>572</v>
      </c>
      <c r="D15" s="111" t="s">
        <v>38</v>
      </c>
      <c r="E15" s="116" t="s">
        <v>573</v>
      </c>
      <c r="F15" s="114" t="s">
        <v>574</v>
      </c>
      <c r="G15" s="115">
        <v>41914</v>
      </c>
      <c r="H15" s="111" t="s">
        <v>568</v>
      </c>
      <c r="I15" s="111" t="s">
        <v>325</v>
      </c>
    </row>
    <row r="16" spans="2:9">
      <c r="B16" s="111">
        <v>6</v>
      </c>
      <c r="C16" s="112" t="s">
        <v>575</v>
      </c>
      <c r="D16" s="111" t="s">
        <v>25</v>
      </c>
      <c r="E16" s="116" t="s">
        <v>576</v>
      </c>
      <c r="F16" s="114" t="s">
        <v>577</v>
      </c>
      <c r="G16" s="115">
        <v>41676</v>
      </c>
      <c r="H16" s="111" t="s">
        <v>561</v>
      </c>
      <c r="I16" s="111" t="s">
        <v>325</v>
      </c>
    </row>
    <row r="17" spans="2:9">
      <c r="B17" s="111">
        <v>7</v>
      </c>
      <c r="C17" s="112" t="s">
        <v>578</v>
      </c>
      <c r="D17" s="111" t="s">
        <v>118</v>
      </c>
      <c r="E17" s="116" t="s">
        <v>579</v>
      </c>
      <c r="F17" s="114" t="s">
        <v>580</v>
      </c>
      <c r="G17" s="115">
        <v>40788</v>
      </c>
      <c r="H17" s="111" t="s">
        <v>568</v>
      </c>
      <c r="I17" s="111" t="s">
        <v>581</v>
      </c>
    </row>
    <row r="18" spans="2:9">
      <c r="B18" s="111">
        <v>8</v>
      </c>
      <c r="C18" s="112" t="s">
        <v>582</v>
      </c>
      <c r="D18" s="111" t="s">
        <v>45</v>
      </c>
      <c r="E18" s="116" t="s">
        <v>583</v>
      </c>
      <c r="F18" s="117"/>
      <c r="G18" s="115">
        <v>40556</v>
      </c>
      <c r="H18" s="111" t="s">
        <v>568</v>
      </c>
      <c r="I18" s="111" t="s">
        <v>581</v>
      </c>
    </row>
    <row r="19" spans="2:9">
      <c r="B19" s="111">
        <v>9</v>
      </c>
      <c r="C19" s="112" t="s">
        <v>584</v>
      </c>
      <c r="D19" s="111" t="s">
        <v>96</v>
      </c>
      <c r="E19" s="116" t="s">
        <v>585</v>
      </c>
      <c r="F19" s="117"/>
      <c r="G19" s="117"/>
      <c r="H19" s="111" t="s">
        <v>568</v>
      </c>
      <c r="I19" s="111" t="s">
        <v>581</v>
      </c>
    </row>
    <row r="20" spans="2:9">
      <c r="B20" s="111">
        <v>10</v>
      </c>
      <c r="C20" s="112" t="s">
        <v>586</v>
      </c>
      <c r="D20" s="111" t="s">
        <v>218</v>
      </c>
      <c r="E20" s="116" t="s">
        <v>587</v>
      </c>
      <c r="F20" s="114" t="s">
        <v>588</v>
      </c>
      <c r="G20" s="115">
        <v>40855</v>
      </c>
      <c r="H20" s="111" t="s">
        <v>561</v>
      </c>
      <c r="I20" s="111" t="s">
        <v>581</v>
      </c>
    </row>
    <row r="21" spans="2:9">
      <c r="B21" s="111">
        <v>11</v>
      </c>
      <c r="C21" s="112" t="s">
        <v>589</v>
      </c>
      <c r="D21" s="111" t="s">
        <v>45</v>
      </c>
      <c r="E21" s="116" t="s">
        <v>590</v>
      </c>
      <c r="F21" s="114" t="s">
        <v>591</v>
      </c>
      <c r="G21" s="115">
        <v>40905</v>
      </c>
      <c r="H21" s="111" t="s">
        <v>568</v>
      </c>
      <c r="I21" s="111" t="s">
        <v>445</v>
      </c>
    </row>
    <row r="22" spans="2:9">
      <c r="B22" s="111">
        <v>12</v>
      </c>
      <c r="C22" s="112" t="s">
        <v>592</v>
      </c>
      <c r="D22" s="111" t="s">
        <v>144</v>
      </c>
      <c r="E22" s="116" t="s">
        <v>593</v>
      </c>
      <c r="F22" s="114" t="s">
        <v>594</v>
      </c>
      <c r="G22" s="115">
        <v>40578</v>
      </c>
      <c r="H22" s="111" t="s">
        <v>561</v>
      </c>
      <c r="I22" s="111" t="s">
        <v>445</v>
      </c>
    </row>
    <row r="23" spans="2:9">
      <c r="B23" s="111">
        <v>13</v>
      </c>
      <c r="C23" s="112" t="s">
        <v>595</v>
      </c>
      <c r="D23" s="111" t="s">
        <v>43</v>
      </c>
      <c r="E23" s="116" t="s">
        <v>596</v>
      </c>
      <c r="F23" s="117"/>
      <c r="G23" s="115">
        <v>40655</v>
      </c>
      <c r="H23" s="111" t="s">
        <v>568</v>
      </c>
      <c r="I23" s="111" t="s">
        <v>445</v>
      </c>
    </row>
    <row r="24" spans="2:9">
      <c r="B24" s="111">
        <v>14</v>
      </c>
      <c r="C24" s="112" t="s">
        <v>597</v>
      </c>
      <c r="D24" s="111" t="s">
        <v>14</v>
      </c>
      <c r="E24" s="116" t="s">
        <v>598</v>
      </c>
      <c r="F24" s="117"/>
      <c r="G24" s="115">
        <v>40602</v>
      </c>
      <c r="H24" s="111" t="s">
        <v>561</v>
      </c>
      <c r="I24" s="111" t="s">
        <v>445</v>
      </c>
    </row>
    <row r="25" spans="2:9">
      <c r="B25" s="111">
        <v>15</v>
      </c>
      <c r="C25" s="112" t="s">
        <v>599</v>
      </c>
      <c r="D25" s="111" t="s">
        <v>113</v>
      </c>
      <c r="E25" s="116" t="s">
        <v>600</v>
      </c>
      <c r="F25" s="117"/>
      <c r="G25" s="115">
        <v>40689</v>
      </c>
      <c r="H25" s="111" t="s">
        <v>568</v>
      </c>
      <c r="I25" s="111" t="s">
        <v>430</v>
      </c>
    </row>
    <row r="26" spans="2:9">
      <c r="B26" s="111">
        <v>16</v>
      </c>
      <c r="C26" s="112" t="s">
        <v>601</v>
      </c>
      <c r="D26" s="111" t="s">
        <v>38</v>
      </c>
      <c r="E26" s="116" t="s">
        <v>602</v>
      </c>
      <c r="F26" s="114" t="s">
        <v>603</v>
      </c>
      <c r="G26" s="115">
        <v>40900</v>
      </c>
      <c r="H26" s="111" t="s">
        <v>568</v>
      </c>
      <c r="I26" s="111" t="s">
        <v>430</v>
      </c>
    </row>
    <row r="27" spans="2:9">
      <c r="B27" s="111">
        <v>17</v>
      </c>
      <c r="C27" s="112" t="s">
        <v>604</v>
      </c>
      <c r="D27" s="111" t="s">
        <v>31</v>
      </c>
      <c r="E27" s="116" t="s">
        <v>605</v>
      </c>
      <c r="F27" s="114" t="s">
        <v>606</v>
      </c>
      <c r="G27" s="115">
        <v>40871</v>
      </c>
      <c r="H27" s="111" t="s">
        <v>568</v>
      </c>
      <c r="I27" s="111" t="s">
        <v>430</v>
      </c>
    </row>
    <row r="28" spans="2:9">
      <c r="B28" s="111">
        <v>18</v>
      </c>
      <c r="C28" s="112" t="s">
        <v>607</v>
      </c>
      <c r="D28" s="111" t="s">
        <v>19</v>
      </c>
      <c r="E28" s="116" t="s">
        <v>608</v>
      </c>
      <c r="F28" s="117"/>
      <c r="G28" s="115">
        <v>40580</v>
      </c>
      <c r="H28" s="111" t="s">
        <v>561</v>
      </c>
      <c r="I28" s="111" t="s">
        <v>430</v>
      </c>
    </row>
    <row r="29" spans="2:9">
      <c r="B29" s="111">
        <v>19</v>
      </c>
      <c r="C29" s="112" t="s">
        <v>609</v>
      </c>
      <c r="D29" s="111" t="s">
        <v>113</v>
      </c>
      <c r="E29" s="116" t="s">
        <v>610</v>
      </c>
      <c r="F29" s="114" t="s">
        <v>611</v>
      </c>
      <c r="G29" s="115">
        <v>40679</v>
      </c>
      <c r="H29" s="111" t="s">
        <v>568</v>
      </c>
      <c r="I29" s="111" t="s">
        <v>430</v>
      </c>
    </row>
    <row r="30" spans="2:9">
      <c r="B30" s="111">
        <v>20</v>
      </c>
      <c r="C30" s="112" t="s">
        <v>612</v>
      </c>
      <c r="D30" s="111" t="s">
        <v>71</v>
      </c>
      <c r="E30" s="116" t="s">
        <v>613</v>
      </c>
      <c r="F30" s="114" t="s">
        <v>614</v>
      </c>
      <c r="G30" s="115">
        <v>41890</v>
      </c>
      <c r="H30" s="111" t="s">
        <v>568</v>
      </c>
      <c r="I30" s="111" t="s">
        <v>430</v>
      </c>
    </row>
    <row r="31" spans="2:9">
      <c r="B31" s="111">
        <v>21</v>
      </c>
      <c r="C31" s="112" t="s">
        <v>615</v>
      </c>
      <c r="D31" s="111" t="s">
        <v>21</v>
      </c>
      <c r="E31" s="116" t="s">
        <v>616</v>
      </c>
      <c r="F31" s="117"/>
      <c r="G31" s="117"/>
      <c r="H31" s="111" t="s">
        <v>568</v>
      </c>
      <c r="I31" s="111" t="s">
        <v>430</v>
      </c>
    </row>
    <row r="32" spans="2:9">
      <c r="B32" s="111">
        <v>22</v>
      </c>
      <c r="C32" s="112" t="s">
        <v>617</v>
      </c>
      <c r="D32" s="111" t="s">
        <v>64</v>
      </c>
      <c r="E32" s="116" t="s">
        <v>618</v>
      </c>
      <c r="F32" s="117"/>
      <c r="G32" s="115">
        <v>40549</v>
      </c>
      <c r="H32" s="111" t="s">
        <v>568</v>
      </c>
      <c r="I32" s="111" t="s">
        <v>548</v>
      </c>
    </row>
    <row r="33" spans="2:9">
      <c r="B33" s="111">
        <v>23</v>
      </c>
      <c r="C33" s="112" t="s">
        <v>619</v>
      </c>
      <c r="D33" s="111" t="s">
        <v>64</v>
      </c>
      <c r="E33" s="116" t="s">
        <v>620</v>
      </c>
      <c r="F33" s="117"/>
      <c r="G33" s="115">
        <v>40799</v>
      </c>
      <c r="H33" s="111" t="s">
        <v>568</v>
      </c>
      <c r="I33" s="111" t="s">
        <v>548</v>
      </c>
    </row>
    <row r="34" spans="2:9">
      <c r="B34" s="111">
        <v>24</v>
      </c>
      <c r="C34" s="112" t="s">
        <v>621</v>
      </c>
      <c r="D34" s="111" t="s">
        <v>21</v>
      </c>
      <c r="E34" s="116" t="s">
        <v>622</v>
      </c>
      <c r="F34" s="118" t="s">
        <v>623</v>
      </c>
      <c r="G34" s="115">
        <v>40594</v>
      </c>
      <c r="H34" s="111" t="s">
        <v>568</v>
      </c>
      <c r="I34" s="111" t="s">
        <v>624</v>
      </c>
    </row>
    <row r="35" spans="2:9">
      <c r="B35" s="111">
        <v>25</v>
      </c>
      <c r="C35" s="112" t="s">
        <v>625</v>
      </c>
      <c r="D35" s="111" t="s">
        <v>162</v>
      </c>
      <c r="E35" s="116" t="s">
        <v>626</v>
      </c>
      <c r="F35" s="117"/>
      <c r="G35" s="115">
        <v>40811</v>
      </c>
      <c r="H35" s="111" t="s">
        <v>568</v>
      </c>
      <c r="I35" s="111" t="s">
        <v>624</v>
      </c>
    </row>
    <row r="36" spans="2:9">
      <c r="B36" s="111">
        <v>26</v>
      </c>
      <c r="C36" s="112" t="s">
        <v>627</v>
      </c>
      <c r="D36" s="111" t="s">
        <v>64</v>
      </c>
      <c r="E36" s="116" t="s">
        <v>628</v>
      </c>
      <c r="F36" s="114" t="s">
        <v>629</v>
      </c>
      <c r="G36" s="115">
        <v>41922</v>
      </c>
      <c r="H36" s="111" t="s">
        <v>561</v>
      </c>
      <c r="I36" s="111" t="s">
        <v>630</v>
      </c>
    </row>
    <row r="37" spans="2:9">
      <c r="B37" s="111">
        <v>27</v>
      </c>
      <c r="C37" s="112" t="s">
        <v>631</v>
      </c>
      <c r="D37" s="111" t="s">
        <v>16</v>
      </c>
      <c r="E37" s="116" t="s">
        <v>632</v>
      </c>
      <c r="F37" s="114" t="s">
        <v>633</v>
      </c>
      <c r="G37" s="115">
        <v>40767</v>
      </c>
      <c r="H37" s="111" t="s">
        <v>561</v>
      </c>
      <c r="I37" s="111" t="s">
        <v>624</v>
      </c>
    </row>
    <row r="38" spans="2:9">
      <c r="B38" s="111">
        <v>28</v>
      </c>
      <c r="C38" s="112" t="s">
        <v>634</v>
      </c>
      <c r="D38" s="111" t="s">
        <v>45</v>
      </c>
      <c r="E38" s="116" t="s">
        <v>635</v>
      </c>
      <c r="F38" s="114" t="s">
        <v>636</v>
      </c>
      <c r="G38" s="115">
        <v>40798</v>
      </c>
      <c r="H38" s="111" t="s">
        <v>568</v>
      </c>
      <c r="I38" s="111" t="s">
        <v>624</v>
      </c>
    </row>
    <row r="39" spans="2:9">
      <c r="B39" s="111">
        <v>29</v>
      </c>
      <c r="C39" s="112" t="s">
        <v>637</v>
      </c>
      <c r="D39" s="111" t="s">
        <v>113</v>
      </c>
      <c r="E39" s="116" t="s">
        <v>638</v>
      </c>
      <c r="F39" s="114" t="s">
        <v>639</v>
      </c>
      <c r="G39" s="115">
        <v>40825</v>
      </c>
      <c r="H39" s="111" t="s">
        <v>568</v>
      </c>
      <c r="I39" s="111" t="s">
        <v>624</v>
      </c>
    </row>
    <row r="40" spans="2:9">
      <c r="B40" s="111">
        <v>30</v>
      </c>
      <c r="C40" s="112" t="s">
        <v>640</v>
      </c>
      <c r="D40" s="111" t="s">
        <v>162</v>
      </c>
      <c r="E40" s="116" t="s">
        <v>641</v>
      </c>
      <c r="F40" s="117"/>
      <c r="G40" s="115">
        <v>41901</v>
      </c>
      <c r="H40" s="111" t="s">
        <v>568</v>
      </c>
      <c r="I40" s="119" t="s">
        <v>312</v>
      </c>
    </row>
    <row r="41" spans="2:9">
      <c r="B41" s="111">
        <v>31</v>
      </c>
      <c r="C41" s="112" t="s">
        <v>642</v>
      </c>
      <c r="D41" s="111" t="s">
        <v>43</v>
      </c>
      <c r="E41" s="116" t="s">
        <v>643</v>
      </c>
      <c r="F41" s="117"/>
      <c r="G41" s="115">
        <v>40797</v>
      </c>
      <c r="H41" s="111" t="s">
        <v>561</v>
      </c>
      <c r="I41" s="119" t="s">
        <v>312</v>
      </c>
    </row>
    <row r="42" spans="2:9">
      <c r="B42" s="111">
        <v>32</v>
      </c>
      <c r="C42" s="112" t="s">
        <v>644</v>
      </c>
      <c r="D42" s="111" t="s">
        <v>49</v>
      </c>
      <c r="E42" s="116" t="s">
        <v>645</v>
      </c>
      <c r="F42" s="114" t="s">
        <v>646</v>
      </c>
      <c r="G42" s="115">
        <v>40690</v>
      </c>
      <c r="H42" s="111" t="s">
        <v>561</v>
      </c>
      <c r="I42" s="119" t="s">
        <v>312</v>
      </c>
    </row>
    <row r="43" spans="2:9">
      <c r="B43" s="111">
        <v>33</v>
      </c>
      <c r="C43" s="112" t="s">
        <v>647</v>
      </c>
      <c r="D43" s="111" t="s">
        <v>45</v>
      </c>
      <c r="E43" s="116" t="s">
        <v>648</v>
      </c>
      <c r="F43" s="114" t="s">
        <v>649</v>
      </c>
      <c r="G43" s="115">
        <v>40570</v>
      </c>
      <c r="H43" s="111" t="s">
        <v>568</v>
      </c>
      <c r="I43" s="119" t="s">
        <v>312</v>
      </c>
    </row>
    <row r="44" spans="2:9">
      <c r="B44" s="111">
        <v>34</v>
      </c>
      <c r="C44" s="112" t="s">
        <v>650</v>
      </c>
      <c r="D44" s="111" t="s">
        <v>53</v>
      </c>
      <c r="E44" s="116" t="s">
        <v>651</v>
      </c>
      <c r="F44" s="117"/>
      <c r="G44" s="115">
        <v>40825</v>
      </c>
      <c r="H44" s="111" t="s">
        <v>568</v>
      </c>
      <c r="I44" s="119" t="s">
        <v>308</v>
      </c>
    </row>
    <row r="45" spans="2:9">
      <c r="B45" s="111">
        <v>35</v>
      </c>
      <c r="C45" s="120" t="s">
        <v>652</v>
      </c>
      <c r="D45" s="111" t="s">
        <v>75</v>
      </c>
      <c r="E45" s="116" t="s">
        <v>653</v>
      </c>
      <c r="F45" s="117"/>
      <c r="G45" s="115">
        <v>40900</v>
      </c>
      <c r="H45" s="111" t="s">
        <v>568</v>
      </c>
      <c r="I45" s="119" t="s">
        <v>308</v>
      </c>
    </row>
    <row r="46" spans="2:9">
      <c r="B46" s="111">
        <v>36</v>
      </c>
      <c r="C46" s="112" t="s">
        <v>654</v>
      </c>
      <c r="D46" s="111" t="s">
        <v>144</v>
      </c>
      <c r="E46" s="116" t="s">
        <v>655</v>
      </c>
      <c r="F46" s="114" t="s">
        <v>656</v>
      </c>
      <c r="G46" s="115">
        <v>40829</v>
      </c>
      <c r="H46" s="111" t="s">
        <v>568</v>
      </c>
      <c r="I46" s="119" t="s">
        <v>308</v>
      </c>
    </row>
    <row r="47" spans="2:9">
      <c r="B47" s="111">
        <v>37</v>
      </c>
      <c r="C47" s="112" t="s">
        <v>657</v>
      </c>
      <c r="D47" s="111" t="s">
        <v>33</v>
      </c>
      <c r="E47" s="116" t="s">
        <v>658</v>
      </c>
      <c r="F47" s="117"/>
      <c r="G47" s="115">
        <v>40699</v>
      </c>
      <c r="H47" s="111" t="s">
        <v>568</v>
      </c>
      <c r="I47" s="119" t="s">
        <v>308</v>
      </c>
    </row>
    <row r="48" spans="2:9">
      <c r="B48" s="111">
        <v>38</v>
      </c>
      <c r="C48" s="112" t="s">
        <v>659</v>
      </c>
      <c r="D48" s="111" t="s">
        <v>118</v>
      </c>
      <c r="E48" s="116" t="s">
        <v>660</v>
      </c>
      <c r="F48" s="114" t="s">
        <v>661</v>
      </c>
      <c r="G48" s="115">
        <v>41769</v>
      </c>
      <c r="H48" s="111" t="s">
        <v>568</v>
      </c>
      <c r="I48" s="119"/>
    </row>
    <row r="49" spans="2:9">
      <c r="B49" s="111">
        <v>39</v>
      </c>
      <c r="C49" s="112" t="s">
        <v>662</v>
      </c>
      <c r="D49" s="111" t="s">
        <v>71</v>
      </c>
      <c r="E49" s="116" t="s">
        <v>663</v>
      </c>
      <c r="F49" s="114" t="s">
        <v>664</v>
      </c>
      <c r="G49" s="115">
        <v>40865</v>
      </c>
      <c r="H49" s="111" t="s">
        <v>568</v>
      </c>
      <c r="I49" s="119" t="s">
        <v>308</v>
      </c>
    </row>
    <row r="50" spans="2:9">
      <c r="B50" s="111">
        <v>40</v>
      </c>
      <c r="C50" s="112" t="s">
        <v>665</v>
      </c>
      <c r="D50" s="111" t="s">
        <v>31</v>
      </c>
      <c r="E50" s="116" t="s">
        <v>666</v>
      </c>
      <c r="F50" s="117"/>
      <c r="G50" s="115">
        <v>40874</v>
      </c>
      <c r="H50" s="111" t="s">
        <v>568</v>
      </c>
      <c r="I50" s="119" t="s">
        <v>308</v>
      </c>
    </row>
    <row r="51" spans="2:9">
      <c r="B51" s="111">
        <v>41</v>
      </c>
      <c r="C51" s="112" t="s">
        <v>667</v>
      </c>
      <c r="D51" s="111" t="s">
        <v>77</v>
      </c>
      <c r="E51" s="116" t="s">
        <v>668</v>
      </c>
      <c r="F51" s="114" t="s">
        <v>669</v>
      </c>
      <c r="G51" s="115">
        <v>40749</v>
      </c>
      <c r="H51" s="111" t="s">
        <v>561</v>
      </c>
      <c r="I51" s="119" t="s">
        <v>330</v>
      </c>
    </row>
    <row r="52" spans="2:9">
      <c r="B52" s="111">
        <v>42</v>
      </c>
      <c r="C52" s="112" t="s">
        <v>670</v>
      </c>
      <c r="D52" s="111" t="s">
        <v>77</v>
      </c>
      <c r="E52" s="116" t="s">
        <v>671</v>
      </c>
      <c r="F52" s="114" t="s">
        <v>672</v>
      </c>
      <c r="G52" s="115">
        <v>40637</v>
      </c>
      <c r="H52" s="111" t="s">
        <v>561</v>
      </c>
      <c r="I52" s="119" t="s">
        <v>330</v>
      </c>
    </row>
    <row r="53" spans="2:9">
      <c r="B53" s="111">
        <v>43</v>
      </c>
      <c r="C53" s="112" t="s">
        <v>673</v>
      </c>
      <c r="D53" s="111" t="s">
        <v>496</v>
      </c>
      <c r="E53" s="116" t="s">
        <v>674</v>
      </c>
      <c r="F53" s="114" t="s">
        <v>675</v>
      </c>
      <c r="G53" s="115">
        <v>41837</v>
      </c>
      <c r="H53" s="111" t="s">
        <v>561</v>
      </c>
      <c r="I53" s="119" t="s">
        <v>330</v>
      </c>
    </row>
    <row r="54" spans="2:9">
      <c r="B54" s="111">
        <v>44</v>
      </c>
      <c r="C54" s="112" t="s">
        <v>676</v>
      </c>
      <c r="D54" s="111" t="s">
        <v>64</v>
      </c>
      <c r="E54" s="116" t="s">
        <v>677</v>
      </c>
      <c r="F54" s="114" t="s">
        <v>678</v>
      </c>
      <c r="G54" s="115">
        <v>40745</v>
      </c>
      <c r="H54" s="111" t="s">
        <v>561</v>
      </c>
      <c r="I54" s="119" t="s">
        <v>330</v>
      </c>
    </row>
    <row r="55" spans="2:9">
      <c r="B55" s="111">
        <v>45</v>
      </c>
      <c r="C55" s="112" t="s">
        <v>679</v>
      </c>
      <c r="D55" s="111" t="s">
        <v>27</v>
      </c>
      <c r="E55" s="116" t="s">
        <v>680</v>
      </c>
      <c r="F55" s="117"/>
      <c r="G55" s="115">
        <v>40650</v>
      </c>
      <c r="H55" s="111" t="s">
        <v>561</v>
      </c>
      <c r="I55" s="119" t="s">
        <v>330</v>
      </c>
    </row>
    <row r="56" spans="2:9">
      <c r="B56" s="111">
        <v>46</v>
      </c>
      <c r="C56" s="112" t="s">
        <v>681</v>
      </c>
      <c r="D56" s="111" t="s">
        <v>158</v>
      </c>
      <c r="E56" s="116" t="s">
        <v>682</v>
      </c>
      <c r="F56" s="114" t="s">
        <v>683</v>
      </c>
      <c r="G56" s="115">
        <v>40861</v>
      </c>
      <c r="H56" s="111" t="s">
        <v>568</v>
      </c>
      <c r="I56" s="119" t="s">
        <v>330</v>
      </c>
    </row>
    <row r="57" spans="2:9">
      <c r="B57" s="111">
        <v>47</v>
      </c>
      <c r="C57" s="112" t="s">
        <v>684</v>
      </c>
      <c r="D57" s="111" t="s">
        <v>218</v>
      </c>
      <c r="E57" s="116" t="s">
        <v>685</v>
      </c>
      <c r="F57" s="117"/>
      <c r="G57" s="115">
        <v>40557</v>
      </c>
      <c r="H57" s="111" t="s">
        <v>568</v>
      </c>
      <c r="I57" s="119" t="s">
        <v>350</v>
      </c>
    </row>
    <row r="58" spans="2:9">
      <c r="B58" s="111">
        <v>48</v>
      </c>
      <c r="C58" s="112" t="s">
        <v>686</v>
      </c>
      <c r="D58" s="111" t="s">
        <v>33</v>
      </c>
      <c r="E58" s="116" t="s">
        <v>687</v>
      </c>
      <c r="F58" s="114" t="s">
        <v>688</v>
      </c>
      <c r="G58" s="115">
        <v>40642</v>
      </c>
      <c r="H58" s="111" t="s">
        <v>568</v>
      </c>
      <c r="I58" s="119" t="s">
        <v>350</v>
      </c>
    </row>
    <row r="59" spans="2:9">
      <c r="B59" s="111">
        <v>49</v>
      </c>
      <c r="C59" s="112" t="s">
        <v>689</v>
      </c>
      <c r="D59" s="111" t="s">
        <v>118</v>
      </c>
      <c r="E59" s="116" t="s">
        <v>690</v>
      </c>
      <c r="F59" s="117"/>
      <c r="G59" s="115">
        <v>40605</v>
      </c>
      <c r="H59" s="111" t="s">
        <v>568</v>
      </c>
      <c r="I59" s="119" t="s">
        <v>350</v>
      </c>
    </row>
    <row r="60" spans="2:9">
      <c r="B60" s="111">
        <v>50</v>
      </c>
      <c r="C60" s="112" t="s">
        <v>691</v>
      </c>
      <c r="D60" s="111" t="s">
        <v>496</v>
      </c>
      <c r="E60" s="116" t="s">
        <v>692</v>
      </c>
      <c r="F60" s="114" t="s">
        <v>693</v>
      </c>
      <c r="G60" s="115">
        <v>40726</v>
      </c>
      <c r="H60" s="111" t="s">
        <v>561</v>
      </c>
      <c r="I60" s="119" t="s">
        <v>363</v>
      </c>
    </row>
    <row r="61" spans="2:9">
      <c r="B61" s="111">
        <v>51</v>
      </c>
      <c r="C61" s="112" t="s">
        <v>694</v>
      </c>
      <c r="D61" s="111" t="s">
        <v>19</v>
      </c>
      <c r="E61" s="116" t="s">
        <v>695</v>
      </c>
      <c r="F61" s="114" t="s">
        <v>696</v>
      </c>
      <c r="G61" s="115">
        <v>40794</v>
      </c>
      <c r="H61" s="111" t="s">
        <v>561</v>
      </c>
      <c r="I61" s="119" t="s">
        <v>363</v>
      </c>
    </row>
    <row r="62" spans="2:9">
      <c r="B62" s="111">
        <v>52</v>
      </c>
      <c r="C62" s="112" t="s">
        <v>697</v>
      </c>
      <c r="D62" s="111" t="s">
        <v>75</v>
      </c>
      <c r="E62" s="116" t="s">
        <v>698</v>
      </c>
      <c r="F62" s="114" t="s">
        <v>699</v>
      </c>
      <c r="G62" s="115">
        <v>40719</v>
      </c>
      <c r="H62" s="111" t="s">
        <v>568</v>
      </c>
      <c r="I62" s="119" t="s">
        <v>363</v>
      </c>
    </row>
    <row r="63" spans="2:9">
      <c r="B63" s="111">
        <v>53</v>
      </c>
      <c r="C63" s="112" t="s">
        <v>700</v>
      </c>
      <c r="D63" s="111" t="s">
        <v>99</v>
      </c>
      <c r="E63" s="116" t="s">
        <v>701</v>
      </c>
      <c r="F63" s="117"/>
      <c r="G63" s="115">
        <v>40827</v>
      </c>
      <c r="H63" s="111" t="s">
        <v>561</v>
      </c>
      <c r="I63" s="119" t="s">
        <v>363</v>
      </c>
    </row>
    <row r="64" spans="2:9">
      <c r="B64" s="111">
        <v>54</v>
      </c>
      <c r="C64" s="112" t="s">
        <v>702</v>
      </c>
      <c r="D64" s="111" t="s">
        <v>496</v>
      </c>
      <c r="E64" s="116" t="s">
        <v>703</v>
      </c>
      <c r="F64" s="114" t="s">
        <v>704</v>
      </c>
      <c r="G64" s="115">
        <v>40884</v>
      </c>
      <c r="H64" s="111" t="s">
        <v>561</v>
      </c>
      <c r="I64" s="119" t="s">
        <v>314</v>
      </c>
    </row>
    <row r="65" spans="2:9">
      <c r="B65" s="111">
        <v>55</v>
      </c>
      <c r="C65" s="112" t="s">
        <v>705</v>
      </c>
      <c r="D65" s="111" t="s">
        <v>75</v>
      </c>
      <c r="E65" s="116" t="s">
        <v>706</v>
      </c>
      <c r="F65" s="114" t="s">
        <v>707</v>
      </c>
      <c r="G65" s="115">
        <v>41820</v>
      </c>
      <c r="H65" s="111" t="s">
        <v>568</v>
      </c>
      <c r="I65" s="119" t="s">
        <v>314</v>
      </c>
    </row>
    <row r="66" spans="2:9">
      <c r="B66" s="111">
        <v>56</v>
      </c>
      <c r="C66" s="112" t="s">
        <v>708</v>
      </c>
      <c r="D66" s="111" t="s">
        <v>132</v>
      </c>
      <c r="E66" s="116" t="s">
        <v>709</v>
      </c>
      <c r="F66" s="114" t="s">
        <v>710</v>
      </c>
      <c r="G66" s="115">
        <v>40863</v>
      </c>
      <c r="H66" s="111" t="s">
        <v>561</v>
      </c>
      <c r="I66" s="119" t="s">
        <v>314</v>
      </c>
    </row>
    <row r="67" spans="2:9">
      <c r="B67" s="111">
        <v>57</v>
      </c>
      <c r="C67" s="112" t="s">
        <v>711</v>
      </c>
      <c r="D67" s="111" t="s">
        <v>19</v>
      </c>
      <c r="E67" s="116" t="s">
        <v>712</v>
      </c>
      <c r="F67" s="114" t="s">
        <v>713</v>
      </c>
      <c r="G67" s="115">
        <v>40700</v>
      </c>
      <c r="H67" s="111" t="s">
        <v>568</v>
      </c>
      <c r="I67" s="119" t="s">
        <v>314</v>
      </c>
    </row>
    <row r="68" spans="2:9">
      <c r="B68" s="111">
        <v>58</v>
      </c>
      <c r="C68" s="112" t="s">
        <v>714</v>
      </c>
      <c r="D68" s="111" t="s">
        <v>10</v>
      </c>
      <c r="E68" s="116" t="s">
        <v>715</v>
      </c>
      <c r="F68" s="114" t="s">
        <v>716</v>
      </c>
      <c r="G68" s="115">
        <v>40743</v>
      </c>
      <c r="H68" s="111" t="s">
        <v>561</v>
      </c>
      <c r="I68" s="119" t="s">
        <v>314</v>
      </c>
    </row>
    <row r="69" spans="2:9">
      <c r="B69" s="111">
        <v>59</v>
      </c>
      <c r="C69" s="112" t="s">
        <v>717</v>
      </c>
      <c r="D69" s="111" t="s">
        <v>16</v>
      </c>
      <c r="E69" s="116" t="s">
        <v>718</v>
      </c>
      <c r="F69" s="114" t="s">
        <v>719</v>
      </c>
      <c r="G69" s="115">
        <v>40627</v>
      </c>
      <c r="H69" s="111" t="s">
        <v>568</v>
      </c>
      <c r="I69" s="119" t="s">
        <v>314</v>
      </c>
    </row>
    <row r="70" spans="2:9">
      <c r="B70" s="111">
        <v>60</v>
      </c>
      <c r="C70" s="112" t="s">
        <v>720</v>
      </c>
      <c r="D70" s="111" t="s">
        <v>99</v>
      </c>
      <c r="E70" s="116" t="s">
        <v>715</v>
      </c>
      <c r="F70" s="114" t="s">
        <v>721</v>
      </c>
      <c r="G70" s="115">
        <v>40701</v>
      </c>
      <c r="H70" s="111" t="s">
        <v>568</v>
      </c>
      <c r="I70" s="119" t="s">
        <v>314</v>
      </c>
    </row>
    <row r="71" spans="2:9">
      <c r="B71" s="111">
        <v>61</v>
      </c>
      <c r="C71" s="112" t="s">
        <v>722</v>
      </c>
      <c r="D71" s="111" t="s">
        <v>162</v>
      </c>
      <c r="E71" s="116" t="s">
        <v>723</v>
      </c>
      <c r="F71" s="114" t="s">
        <v>724</v>
      </c>
      <c r="G71" s="115">
        <v>40812</v>
      </c>
      <c r="H71" s="111" t="s">
        <v>568</v>
      </c>
      <c r="I71" s="119" t="s">
        <v>314</v>
      </c>
    </row>
    <row r="72" spans="2:9">
      <c r="B72" s="111">
        <v>62</v>
      </c>
      <c r="C72" s="112" t="s">
        <v>725</v>
      </c>
      <c r="D72" s="111" t="s">
        <v>14</v>
      </c>
      <c r="E72" s="116" t="s">
        <v>726</v>
      </c>
      <c r="F72" s="121" t="s">
        <v>727</v>
      </c>
      <c r="G72" s="115">
        <v>40676</v>
      </c>
      <c r="H72" s="111" t="s">
        <v>561</v>
      </c>
      <c r="I72" s="119" t="s">
        <v>314</v>
      </c>
    </row>
    <row r="73" spans="2:9">
      <c r="B73" s="111">
        <v>63</v>
      </c>
      <c r="C73" s="112" t="s">
        <v>604</v>
      </c>
      <c r="D73" s="111" t="s">
        <v>31</v>
      </c>
      <c r="E73" s="116" t="s">
        <v>605</v>
      </c>
      <c r="F73" s="114" t="s">
        <v>728</v>
      </c>
      <c r="G73" s="115">
        <v>40871</v>
      </c>
      <c r="H73" s="111" t="s">
        <v>568</v>
      </c>
      <c r="I73" s="119" t="s">
        <v>430</v>
      </c>
    </row>
    <row r="74" spans="2:9">
      <c r="B74" s="111">
        <v>64</v>
      </c>
      <c r="C74" s="112" t="s">
        <v>729</v>
      </c>
      <c r="D74" s="111" t="s">
        <v>29</v>
      </c>
      <c r="E74" s="116" t="s">
        <v>730</v>
      </c>
      <c r="F74" s="114" t="s">
        <v>731</v>
      </c>
      <c r="G74" s="115">
        <v>41980</v>
      </c>
      <c r="H74" s="111" t="s">
        <v>568</v>
      </c>
      <c r="I74" s="119" t="s">
        <v>548</v>
      </c>
    </row>
    <row r="75" spans="2:9">
      <c r="B75" s="111">
        <v>65</v>
      </c>
      <c r="C75" s="112" t="s">
        <v>732</v>
      </c>
      <c r="D75" s="111" t="s">
        <v>77</v>
      </c>
      <c r="E75" s="116" t="s">
        <v>733</v>
      </c>
      <c r="F75" s="117"/>
      <c r="G75" s="115">
        <v>40666</v>
      </c>
      <c r="H75" s="111" t="s">
        <v>568</v>
      </c>
      <c r="I75" s="119" t="s">
        <v>314</v>
      </c>
    </row>
    <row r="76" spans="2:9">
      <c r="B76" s="111">
        <v>66</v>
      </c>
      <c r="C76" s="112" t="s">
        <v>734</v>
      </c>
      <c r="D76" s="111" t="s">
        <v>75</v>
      </c>
      <c r="E76" s="116" t="s">
        <v>735</v>
      </c>
      <c r="F76" s="117"/>
      <c r="G76" s="115">
        <v>40644</v>
      </c>
      <c r="H76" s="111" t="s">
        <v>568</v>
      </c>
      <c r="I76" s="119" t="s">
        <v>312</v>
      </c>
    </row>
    <row r="77" spans="2:9">
      <c r="B77" s="111">
        <v>67</v>
      </c>
      <c r="C77" s="112" t="s">
        <v>736</v>
      </c>
      <c r="D77" s="111" t="s">
        <v>99</v>
      </c>
      <c r="E77" s="116" t="s">
        <v>737</v>
      </c>
      <c r="F77" s="117"/>
      <c r="G77" s="115">
        <v>40761</v>
      </c>
      <c r="H77" s="111" t="s">
        <v>568</v>
      </c>
      <c r="I77" s="119"/>
    </row>
    <row r="78" spans="2:9">
      <c r="B78" s="111">
        <v>68</v>
      </c>
      <c r="C78" s="112" t="s">
        <v>738</v>
      </c>
      <c r="D78" s="111" t="s">
        <v>99</v>
      </c>
      <c r="E78" s="116" t="s">
        <v>739</v>
      </c>
      <c r="F78" s="114" t="s">
        <v>740</v>
      </c>
      <c r="G78" s="115">
        <v>40580</v>
      </c>
      <c r="H78" s="111" t="s">
        <v>568</v>
      </c>
      <c r="I78" s="119" t="s">
        <v>330</v>
      </c>
    </row>
    <row r="79" spans="2:9">
      <c r="B79" s="111">
        <v>69</v>
      </c>
      <c r="C79" s="112" t="s">
        <v>741</v>
      </c>
      <c r="D79" s="111" t="s">
        <v>118</v>
      </c>
      <c r="E79" s="116" t="s">
        <v>742</v>
      </c>
      <c r="F79" s="114" t="s">
        <v>743</v>
      </c>
      <c r="G79" s="115">
        <v>41873</v>
      </c>
      <c r="H79" s="111" t="s">
        <v>568</v>
      </c>
      <c r="I79" s="119" t="s">
        <v>330</v>
      </c>
    </row>
    <row r="80" spans="2:9">
      <c r="B80" s="111">
        <v>70</v>
      </c>
      <c r="C80" s="112" t="s">
        <v>744</v>
      </c>
      <c r="D80" s="111" t="s">
        <v>53</v>
      </c>
      <c r="E80" s="116" t="s">
        <v>745</v>
      </c>
      <c r="F80" s="117"/>
      <c r="G80" s="115">
        <v>40788</v>
      </c>
      <c r="H80" s="111" t="s">
        <v>568</v>
      </c>
      <c r="I80" s="119"/>
    </row>
    <row r="81" spans="2:9">
      <c r="B81" s="122">
        <v>71</v>
      </c>
      <c r="C81" s="112" t="s">
        <v>746</v>
      </c>
      <c r="D81" s="111" t="s">
        <v>19</v>
      </c>
      <c r="E81" s="116" t="s">
        <v>747</v>
      </c>
      <c r="F81" s="114" t="s">
        <v>748</v>
      </c>
      <c r="G81" s="115">
        <v>40629</v>
      </c>
      <c r="H81" s="111" t="s">
        <v>568</v>
      </c>
      <c r="I81" s="111" t="s">
        <v>430</v>
      </c>
    </row>
    <row r="82" spans="2:9">
      <c r="B82" s="122">
        <v>72</v>
      </c>
      <c r="C82" s="112" t="s">
        <v>749</v>
      </c>
      <c r="D82" s="111" t="s">
        <v>71</v>
      </c>
      <c r="E82" s="116" t="s">
        <v>750</v>
      </c>
      <c r="F82" s="114" t="s">
        <v>751</v>
      </c>
      <c r="G82" s="115">
        <v>40685</v>
      </c>
      <c r="H82" s="111" t="s">
        <v>568</v>
      </c>
      <c r="I82" s="111" t="s">
        <v>548</v>
      </c>
    </row>
    <row r="83" spans="2:9">
      <c r="B83" s="122">
        <v>73</v>
      </c>
      <c r="C83" s="112" t="s">
        <v>752</v>
      </c>
      <c r="D83" s="111" t="s">
        <v>45</v>
      </c>
      <c r="E83" s="116" t="s">
        <v>753</v>
      </c>
      <c r="F83" s="114" t="s">
        <v>754</v>
      </c>
      <c r="G83" s="115">
        <v>40857</v>
      </c>
      <c r="H83" s="111" t="s">
        <v>568</v>
      </c>
      <c r="I83" s="111"/>
    </row>
    <row r="84" spans="2:9">
      <c r="B84" s="122">
        <v>74</v>
      </c>
      <c r="C84" s="112" t="s">
        <v>755</v>
      </c>
      <c r="D84" s="111" t="s">
        <v>43</v>
      </c>
      <c r="E84" s="116" t="s">
        <v>756</v>
      </c>
      <c r="F84" s="114" t="s">
        <v>757</v>
      </c>
      <c r="G84" s="115">
        <v>40628</v>
      </c>
      <c r="H84" s="111" t="s">
        <v>568</v>
      </c>
      <c r="I84" s="111"/>
    </row>
    <row r="85" spans="2:9">
      <c r="B85" s="122">
        <v>75</v>
      </c>
      <c r="C85" s="112" t="s">
        <v>758</v>
      </c>
      <c r="D85" s="111" t="s">
        <v>759</v>
      </c>
      <c r="E85" s="116" t="s">
        <v>760</v>
      </c>
      <c r="F85" s="114" t="s">
        <v>761</v>
      </c>
      <c r="G85" s="115">
        <v>40904</v>
      </c>
      <c r="H85" s="111" t="s">
        <v>568</v>
      </c>
      <c r="I85" s="111" t="s">
        <v>330</v>
      </c>
    </row>
    <row r="86" spans="2:9">
      <c r="B86" s="122">
        <v>76</v>
      </c>
      <c r="C86" s="112" t="s">
        <v>762</v>
      </c>
      <c r="D86" s="111" t="s">
        <v>99</v>
      </c>
      <c r="E86" s="116" t="s">
        <v>763</v>
      </c>
      <c r="F86" s="114" t="s">
        <v>764</v>
      </c>
      <c r="G86" s="115">
        <v>40817</v>
      </c>
      <c r="H86" s="111" t="s">
        <v>568</v>
      </c>
      <c r="I86" s="111"/>
    </row>
    <row r="87" spans="2:9">
      <c r="B87" s="122">
        <v>77</v>
      </c>
      <c r="C87" s="112" t="s">
        <v>765</v>
      </c>
      <c r="D87" s="111" t="s">
        <v>19</v>
      </c>
      <c r="E87" s="116" t="s">
        <v>766</v>
      </c>
      <c r="F87" s="114" t="s">
        <v>767</v>
      </c>
      <c r="G87" s="115">
        <v>40810</v>
      </c>
      <c r="H87" s="111" t="s">
        <v>568</v>
      </c>
      <c r="I87" s="111"/>
    </row>
    <row r="88" spans="2:9">
      <c r="B88" s="122">
        <v>78</v>
      </c>
      <c r="C88" s="112" t="s">
        <v>768</v>
      </c>
      <c r="D88" s="111" t="s">
        <v>38</v>
      </c>
      <c r="E88" s="116" t="s">
        <v>602</v>
      </c>
      <c r="F88" s="114" t="s">
        <v>603</v>
      </c>
      <c r="G88" s="115">
        <v>40900</v>
      </c>
      <c r="H88" s="111" t="s">
        <v>568</v>
      </c>
      <c r="I88" s="111" t="s">
        <v>430</v>
      </c>
    </row>
    <row r="89" spans="2:9">
      <c r="B89" s="122">
        <v>79</v>
      </c>
      <c r="C89" s="112" t="s">
        <v>769</v>
      </c>
      <c r="D89" s="111" t="s">
        <v>118</v>
      </c>
      <c r="E89" s="116" t="s">
        <v>770</v>
      </c>
      <c r="F89" s="114" t="s">
        <v>771</v>
      </c>
      <c r="G89" s="115">
        <v>40736</v>
      </c>
      <c r="H89" s="111" t="s">
        <v>568</v>
      </c>
      <c r="I89" s="111"/>
    </row>
    <row r="90" spans="2:9">
      <c r="B90" s="122">
        <v>80</v>
      </c>
      <c r="C90" s="112" t="s">
        <v>772</v>
      </c>
      <c r="D90" s="111" t="s">
        <v>45</v>
      </c>
      <c r="E90" s="116" t="s">
        <v>773</v>
      </c>
      <c r="F90" s="114" t="s">
        <v>774</v>
      </c>
      <c r="G90" s="115">
        <v>40881</v>
      </c>
      <c r="H90" s="111" t="s">
        <v>568</v>
      </c>
      <c r="I90" s="111"/>
    </row>
    <row r="91" spans="2:9">
      <c r="B91" s="122">
        <v>81</v>
      </c>
      <c r="C91" s="112" t="s">
        <v>775</v>
      </c>
      <c r="D91" s="111" t="s">
        <v>113</v>
      </c>
      <c r="E91" s="116" t="s">
        <v>776</v>
      </c>
      <c r="F91" s="114" t="s">
        <v>777</v>
      </c>
      <c r="G91" s="115">
        <v>40620</v>
      </c>
      <c r="H91" s="111" t="s">
        <v>568</v>
      </c>
      <c r="I91" s="111" t="s">
        <v>350</v>
      </c>
    </row>
    <row r="92" spans="2:9">
      <c r="B92" s="122">
        <v>82</v>
      </c>
      <c r="C92" s="112" t="s">
        <v>778</v>
      </c>
      <c r="D92" s="111" t="s">
        <v>38</v>
      </c>
      <c r="E92" s="116" t="s">
        <v>779</v>
      </c>
      <c r="F92" s="114" t="s">
        <v>780</v>
      </c>
      <c r="G92" s="115">
        <v>40804</v>
      </c>
      <c r="H92" s="111" t="s">
        <v>568</v>
      </c>
      <c r="I92" s="111" t="s">
        <v>330</v>
      </c>
    </row>
    <row r="93" spans="2:9">
      <c r="B93" s="122">
        <v>83</v>
      </c>
      <c r="C93" s="112" t="s">
        <v>781</v>
      </c>
      <c r="D93" s="111" t="s">
        <v>45</v>
      </c>
      <c r="E93" s="116" t="s">
        <v>782</v>
      </c>
      <c r="F93" s="114" t="s">
        <v>783</v>
      </c>
      <c r="G93" s="115">
        <v>40901</v>
      </c>
      <c r="H93" s="111" t="s">
        <v>568</v>
      </c>
      <c r="I93" s="111" t="s">
        <v>308</v>
      </c>
    </row>
    <row r="94" spans="2:9">
      <c r="B94" s="122">
        <v>84</v>
      </c>
      <c r="C94" s="112" t="s">
        <v>784</v>
      </c>
      <c r="D94" s="111" t="s">
        <v>144</v>
      </c>
      <c r="E94" s="116" t="s">
        <v>785</v>
      </c>
      <c r="F94" s="114" t="s">
        <v>786</v>
      </c>
      <c r="G94" s="115">
        <v>40752</v>
      </c>
      <c r="H94" s="111" t="s">
        <v>568</v>
      </c>
      <c r="I94" s="111" t="s">
        <v>363</v>
      </c>
    </row>
    <row r="95" spans="2:9">
      <c r="B95" s="122">
        <v>85</v>
      </c>
      <c r="C95" s="112" t="s">
        <v>787</v>
      </c>
      <c r="D95" s="111" t="s">
        <v>118</v>
      </c>
      <c r="E95" s="116" t="s">
        <v>788</v>
      </c>
      <c r="F95" s="114" t="s">
        <v>789</v>
      </c>
      <c r="G95" s="115">
        <v>40765</v>
      </c>
      <c r="H95" s="111" t="s">
        <v>568</v>
      </c>
      <c r="I95" s="111"/>
    </row>
    <row r="96" spans="2:9">
      <c r="B96" s="122">
        <v>86</v>
      </c>
      <c r="C96" s="112" t="s">
        <v>790</v>
      </c>
      <c r="D96" s="111" t="s">
        <v>45</v>
      </c>
      <c r="E96" s="116" t="s">
        <v>791</v>
      </c>
      <c r="F96" s="114" t="s">
        <v>792</v>
      </c>
      <c r="G96" s="115">
        <v>40709</v>
      </c>
      <c r="H96" s="111" t="s">
        <v>568</v>
      </c>
      <c r="I96" s="111"/>
    </row>
    <row r="97" spans="2:9">
      <c r="B97" s="122">
        <v>87</v>
      </c>
      <c r="C97" s="112" t="s">
        <v>793</v>
      </c>
      <c r="D97" s="111" t="s">
        <v>21</v>
      </c>
      <c r="E97" s="116" t="s">
        <v>794</v>
      </c>
      <c r="F97" s="114" t="s">
        <v>795</v>
      </c>
      <c r="G97" s="115">
        <v>40839</v>
      </c>
      <c r="H97" s="111" t="s">
        <v>568</v>
      </c>
      <c r="I97" s="111"/>
    </row>
    <row r="98" spans="2:9">
      <c r="B98" s="122">
        <v>88</v>
      </c>
      <c r="C98" s="112" t="s">
        <v>796</v>
      </c>
      <c r="D98" s="111" t="s">
        <v>38</v>
      </c>
      <c r="E98" s="116" t="s">
        <v>797</v>
      </c>
      <c r="F98" s="114" t="s">
        <v>798</v>
      </c>
      <c r="G98" s="115">
        <v>40569</v>
      </c>
      <c r="H98" s="111" t="s">
        <v>568</v>
      </c>
      <c r="I98" s="111"/>
    </row>
    <row r="99" spans="2:9">
      <c r="B99" s="122">
        <v>89</v>
      </c>
      <c r="C99" s="112" t="s">
        <v>799</v>
      </c>
      <c r="D99" s="111" t="s">
        <v>16</v>
      </c>
      <c r="E99" s="116" t="s">
        <v>800</v>
      </c>
      <c r="F99" s="114" t="s">
        <v>801</v>
      </c>
      <c r="G99" s="115">
        <v>40785</v>
      </c>
      <c r="H99" s="111" t="s">
        <v>568</v>
      </c>
      <c r="I99" s="111"/>
    </row>
    <row r="100" spans="2:9">
      <c r="B100" s="122">
        <v>90</v>
      </c>
      <c r="C100" s="112" t="s">
        <v>802</v>
      </c>
      <c r="D100" s="111" t="s">
        <v>16</v>
      </c>
      <c r="E100" s="116" t="s">
        <v>803</v>
      </c>
      <c r="F100" s="114" t="s">
        <v>804</v>
      </c>
      <c r="G100" s="115">
        <v>40704</v>
      </c>
      <c r="H100" s="111" t="s">
        <v>561</v>
      </c>
      <c r="I100" s="111"/>
    </row>
    <row r="101" spans="2:9">
      <c r="B101" s="122">
        <v>91</v>
      </c>
      <c r="C101" s="112" t="s">
        <v>805</v>
      </c>
      <c r="D101" s="111" t="s">
        <v>21</v>
      </c>
      <c r="E101" s="116" t="s">
        <v>806</v>
      </c>
      <c r="F101" s="114" t="s">
        <v>807</v>
      </c>
      <c r="G101" s="115">
        <v>40666</v>
      </c>
      <c r="H101" s="111" t="s">
        <v>568</v>
      </c>
      <c r="I101" s="111" t="s">
        <v>325</v>
      </c>
    </row>
    <row r="102" spans="2:9">
      <c r="B102" s="122">
        <v>92</v>
      </c>
      <c r="C102" s="112" t="s">
        <v>808</v>
      </c>
      <c r="D102" s="111" t="s">
        <v>64</v>
      </c>
      <c r="E102" s="116" t="s">
        <v>809</v>
      </c>
      <c r="F102" s="114" t="s">
        <v>810</v>
      </c>
      <c r="G102" s="115">
        <v>40810</v>
      </c>
      <c r="H102" s="111" t="s">
        <v>568</v>
      </c>
      <c r="I102" s="111" t="s">
        <v>325</v>
      </c>
    </row>
    <row r="103" spans="2:9">
      <c r="B103" s="122">
        <v>93</v>
      </c>
      <c r="C103" s="112" t="s">
        <v>811</v>
      </c>
      <c r="D103" s="111" t="s">
        <v>144</v>
      </c>
      <c r="E103" s="116" t="s">
        <v>812</v>
      </c>
      <c r="F103" s="114" t="s">
        <v>813</v>
      </c>
      <c r="G103" s="115">
        <v>40808</v>
      </c>
      <c r="H103" s="111" t="s">
        <v>568</v>
      </c>
      <c r="I103" s="111" t="s">
        <v>319</v>
      </c>
    </row>
    <row r="104" spans="2:9">
      <c r="B104" s="122">
        <v>94</v>
      </c>
      <c r="C104" s="112" t="s">
        <v>814</v>
      </c>
      <c r="D104" s="111" t="s">
        <v>29</v>
      </c>
      <c r="E104" s="116" t="s">
        <v>815</v>
      </c>
      <c r="F104" s="114" t="s">
        <v>816</v>
      </c>
      <c r="G104" s="115">
        <v>40627</v>
      </c>
      <c r="H104" s="111" t="s">
        <v>561</v>
      </c>
      <c r="I104" s="111"/>
    </row>
    <row r="105" spans="2:9">
      <c r="B105" s="122">
        <v>95</v>
      </c>
      <c r="C105" s="112" t="s">
        <v>817</v>
      </c>
      <c r="D105" s="111" t="s">
        <v>27</v>
      </c>
      <c r="E105" s="116" t="s">
        <v>818</v>
      </c>
      <c r="F105" s="114" t="s">
        <v>819</v>
      </c>
      <c r="G105" s="115">
        <v>40685</v>
      </c>
      <c r="H105" s="111" t="s">
        <v>568</v>
      </c>
      <c r="I105" s="111"/>
    </row>
    <row r="106" spans="2:9">
      <c r="B106" s="122">
        <v>96</v>
      </c>
      <c r="C106" s="112" t="s">
        <v>820</v>
      </c>
      <c r="D106" s="111" t="s">
        <v>21</v>
      </c>
      <c r="E106" s="116" t="s">
        <v>821</v>
      </c>
      <c r="F106" s="114" t="s">
        <v>822</v>
      </c>
      <c r="G106" s="115">
        <v>40628</v>
      </c>
      <c r="H106" s="111" t="s">
        <v>568</v>
      </c>
      <c r="I106" s="111"/>
    </row>
    <row r="107" spans="2:9">
      <c r="B107" s="122">
        <v>97</v>
      </c>
      <c r="C107" s="112" t="s">
        <v>823</v>
      </c>
      <c r="D107" s="111" t="s">
        <v>19</v>
      </c>
      <c r="E107" s="116" t="s">
        <v>824</v>
      </c>
      <c r="F107" s="114" t="s">
        <v>825</v>
      </c>
      <c r="G107" s="115">
        <v>40800</v>
      </c>
      <c r="H107" s="111" t="s">
        <v>568</v>
      </c>
      <c r="I107" s="111"/>
    </row>
    <row r="108" spans="2:9">
      <c r="B108" s="122">
        <v>98</v>
      </c>
      <c r="C108" s="112" t="s">
        <v>826</v>
      </c>
      <c r="D108" s="111" t="s">
        <v>14</v>
      </c>
      <c r="E108" s="116" t="s">
        <v>827</v>
      </c>
      <c r="F108" s="114" t="s">
        <v>828</v>
      </c>
      <c r="G108" s="115">
        <v>40606</v>
      </c>
      <c r="H108" s="111" t="s">
        <v>568</v>
      </c>
      <c r="I108" s="111" t="s">
        <v>312</v>
      </c>
    </row>
    <row r="109" spans="2:9">
      <c r="B109" s="122">
        <v>99</v>
      </c>
      <c r="C109" s="112" t="s">
        <v>829</v>
      </c>
      <c r="D109" s="111" t="s">
        <v>162</v>
      </c>
      <c r="E109" s="116" t="s">
        <v>830</v>
      </c>
      <c r="F109" s="114" t="s">
        <v>831</v>
      </c>
      <c r="G109" s="115">
        <v>40823</v>
      </c>
      <c r="H109" s="111" t="s">
        <v>568</v>
      </c>
      <c r="I109" s="111"/>
    </row>
    <row r="110" spans="2:9">
      <c r="B110" s="122">
        <v>100</v>
      </c>
      <c r="C110" s="112" t="s">
        <v>832</v>
      </c>
      <c r="D110" s="111" t="s">
        <v>57</v>
      </c>
      <c r="E110" s="116" t="s">
        <v>833</v>
      </c>
      <c r="F110" s="123" t="s">
        <v>834</v>
      </c>
      <c r="G110" s="115">
        <v>41878</v>
      </c>
      <c r="H110" s="111" t="s">
        <v>568</v>
      </c>
      <c r="I110" s="111"/>
    </row>
    <row r="111" spans="2:9">
      <c r="B111" s="122">
        <v>101</v>
      </c>
      <c r="C111" s="112" t="s">
        <v>58</v>
      </c>
      <c r="D111" s="111" t="s">
        <v>21</v>
      </c>
      <c r="E111" s="116"/>
      <c r="F111" s="114" t="s">
        <v>835</v>
      </c>
      <c r="G111" s="115">
        <v>40855</v>
      </c>
      <c r="H111" s="111" t="s">
        <v>568</v>
      </c>
      <c r="I111" s="111"/>
    </row>
    <row r="112" spans="2:9">
      <c r="B112" s="122">
        <v>102</v>
      </c>
      <c r="C112" s="120" t="s">
        <v>836</v>
      </c>
      <c r="D112" s="122" t="s">
        <v>38</v>
      </c>
      <c r="E112" s="116" t="s">
        <v>837</v>
      </c>
      <c r="F112" s="124" t="s">
        <v>838</v>
      </c>
      <c r="G112" s="115">
        <v>40811</v>
      </c>
      <c r="H112" s="122" t="s">
        <v>568</v>
      </c>
      <c r="I112" s="111"/>
    </row>
    <row r="113" spans="2:9">
      <c r="B113" s="122">
        <v>103</v>
      </c>
      <c r="C113" s="120" t="s">
        <v>839</v>
      </c>
      <c r="D113" s="122" t="s">
        <v>158</v>
      </c>
      <c r="E113" s="116" t="s">
        <v>840</v>
      </c>
      <c r="F113" s="124" t="s">
        <v>841</v>
      </c>
      <c r="G113" s="115">
        <v>40624</v>
      </c>
      <c r="H113" s="122" t="s">
        <v>568</v>
      </c>
      <c r="I113" s="111"/>
    </row>
    <row r="114" spans="2:9">
      <c r="B114" s="122">
        <v>104</v>
      </c>
      <c r="C114" s="120" t="s">
        <v>842</v>
      </c>
      <c r="D114" s="122" t="s">
        <v>158</v>
      </c>
      <c r="E114" s="116" t="s">
        <v>843</v>
      </c>
      <c r="F114" s="117"/>
      <c r="G114" s="115">
        <v>40639</v>
      </c>
      <c r="H114" s="122" t="s">
        <v>568</v>
      </c>
      <c r="I114" s="111"/>
    </row>
    <row r="115" spans="2:9">
      <c r="B115" s="122">
        <v>105</v>
      </c>
      <c r="C115" s="120" t="s">
        <v>844</v>
      </c>
      <c r="D115" s="122" t="s">
        <v>62</v>
      </c>
      <c r="E115" s="116" t="s">
        <v>845</v>
      </c>
      <c r="F115" s="124" t="s">
        <v>846</v>
      </c>
      <c r="G115" s="115">
        <v>40890</v>
      </c>
      <c r="H115" s="122" t="s">
        <v>568</v>
      </c>
      <c r="I115" s="111"/>
    </row>
    <row r="116" spans="2:9">
      <c r="B116" s="122">
        <v>106</v>
      </c>
      <c r="C116" s="120" t="s">
        <v>847</v>
      </c>
      <c r="D116" s="122" t="s">
        <v>29</v>
      </c>
      <c r="E116" s="116" t="s">
        <v>848</v>
      </c>
      <c r="F116" s="117"/>
      <c r="G116" s="115">
        <v>40895</v>
      </c>
      <c r="H116" s="122" t="s">
        <v>568</v>
      </c>
      <c r="I116" s="111"/>
    </row>
    <row r="117" spans="2:9">
      <c r="B117" s="122">
        <v>107</v>
      </c>
      <c r="C117" s="120" t="s">
        <v>849</v>
      </c>
      <c r="D117" s="122" t="s">
        <v>10</v>
      </c>
      <c r="E117" s="116" t="s">
        <v>850</v>
      </c>
      <c r="F117" s="124" t="s">
        <v>851</v>
      </c>
      <c r="G117" s="115">
        <v>40815</v>
      </c>
      <c r="H117" s="122" t="s">
        <v>568</v>
      </c>
      <c r="I117" s="111"/>
    </row>
    <row r="118" spans="2:9">
      <c r="B118" s="122">
        <v>108</v>
      </c>
      <c r="C118" s="112" t="s">
        <v>852</v>
      </c>
      <c r="D118" s="111" t="s">
        <v>14</v>
      </c>
      <c r="E118" s="116" t="s">
        <v>853</v>
      </c>
      <c r="F118" s="117"/>
      <c r="G118" s="115">
        <v>40559</v>
      </c>
      <c r="H118" s="111" t="s">
        <v>568</v>
      </c>
      <c r="I118" s="111"/>
    </row>
    <row r="119" spans="2:9">
      <c r="B119" s="122">
        <v>109</v>
      </c>
      <c r="C119" s="112" t="s">
        <v>854</v>
      </c>
      <c r="D119" s="111" t="s">
        <v>144</v>
      </c>
      <c r="E119" s="116" t="s">
        <v>855</v>
      </c>
      <c r="F119" s="114" t="s">
        <v>856</v>
      </c>
      <c r="G119" s="115">
        <v>40655</v>
      </c>
      <c r="H119" s="111" t="s">
        <v>568</v>
      </c>
      <c r="I119" s="111"/>
    </row>
    <row r="120" spans="2:9">
      <c r="B120" s="122">
        <v>110</v>
      </c>
      <c r="C120" s="112" t="s">
        <v>857</v>
      </c>
      <c r="D120" s="111" t="s">
        <v>162</v>
      </c>
      <c r="E120" s="116" t="s">
        <v>858</v>
      </c>
      <c r="F120" s="114" t="s">
        <v>859</v>
      </c>
      <c r="G120" s="115">
        <v>40873</v>
      </c>
      <c r="H120" s="111" t="s">
        <v>568</v>
      </c>
      <c r="I120" s="111"/>
    </row>
    <row r="121" spans="2:9">
      <c r="B121" s="122">
        <v>111</v>
      </c>
      <c r="C121" s="112" t="s">
        <v>860</v>
      </c>
      <c r="D121" s="111" t="s">
        <v>19</v>
      </c>
      <c r="E121" s="116" t="s">
        <v>861</v>
      </c>
      <c r="F121" s="114" t="s">
        <v>862</v>
      </c>
      <c r="G121" s="117"/>
      <c r="H121" s="111" t="s">
        <v>568</v>
      </c>
      <c r="I121" s="111"/>
    </row>
    <row r="122" spans="2:9">
      <c r="B122" s="122">
        <v>112</v>
      </c>
      <c r="C122" s="112" t="s">
        <v>863</v>
      </c>
      <c r="D122" s="111" t="s">
        <v>19</v>
      </c>
      <c r="E122" s="116" t="s">
        <v>864</v>
      </c>
      <c r="F122" s="114" t="s">
        <v>865</v>
      </c>
      <c r="G122" s="115">
        <v>40751</v>
      </c>
      <c r="H122" s="111" t="s">
        <v>568</v>
      </c>
      <c r="I122" s="111"/>
    </row>
    <row r="123" spans="2:9">
      <c r="B123" s="122">
        <v>113</v>
      </c>
      <c r="C123" s="112" t="s">
        <v>866</v>
      </c>
      <c r="D123" s="111" t="s">
        <v>113</v>
      </c>
      <c r="E123" s="116" t="s">
        <v>867</v>
      </c>
      <c r="F123" s="114" t="s">
        <v>868</v>
      </c>
      <c r="G123" s="115">
        <v>40574</v>
      </c>
      <c r="H123" s="111" t="s">
        <v>568</v>
      </c>
      <c r="I123" s="111"/>
    </row>
    <row r="124" spans="2:9">
      <c r="B124" s="122">
        <v>114</v>
      </c>
      <c r="C124" s="112" t="s">
        <v>869</v>
      </c>
      <c r="D124" s="111" t="s">
        <v>218</v>
      </c>
      <c r="E124" s="116" t="s">
        <v>870</v>
      </c>
      <c r="F124" s="114" t="s">
        <v>871</v>
      </c>
      <c r="G124" s="115">
        <v>40593</v>
      </c>
      <c r="H124" s="111" t="s">
        <v>568</v>
      </c>
      <c r="I124" s="111" t="s">
        <v>314</v>
      </c>
    </row>
    <row r="125" spans="2:9">
      <c r="B125" s="122">
        <v>115</v>
      </c>
      <c r="C125" s="112" t="s">
        <v>872</v>
      </c>
      <c r="D125" s="111" t="s">
        <v>33</v>
      </c>
      <c r="E125" s="116" t="s">
        <v>873</v>
      </c>
      <c r="F125" s="114" t="s">
        <v>874</v>
      </c>
      <c r="G125" s="115">
        <v>40584</v>
      </c>
      <c r="H125" s="111" t="s">
        <v>561</v>
      </c>
      <c r="I125" s="111" t="s">
        <v>330</v>
      </c>
    </row>
    <row r="126" spans="2:9">
      <c r="B126" s="122">
        <v>116</v>
      </c>
      <c r="C126" s="112" t="s">
        <v>875</v>
      </c>
      <c r="D126" s="111" t="s">
        <v>27</v>
      </c>
      <c r="E126" s="116" t="s">
        <v>876</v>
      </c>
      <c r="F126" s="114" t="s">
        <v>877</v>
      </c>
      <c r="G126" s="115">
        <v>40675</v>
      </c>
      <c r="H126" s="111" t="s">
        <v>561</v>
      </c>
      <c r="I126" s="111" t="s">
        <v>314</v>
      </c>
    </row>
    <row r="127" spans="2:9">
      <c r="B127" s="122">
        <v>117</v>
      </c>
      <c r="C127" s="112" t="s">
        <v>878</v>
      </c>
      <c r="D127" s="111" t="s">
        <v>62</v>
      </c>
      <c r="E127" s="116" t="s">
        <v>879</v>
      </c>
      <c r="F127" s="114" t="s">
        <v>880</v>
      </c>
      <c r="G127" s="115">
        <v>41791</v>
      </c>
      <c r="H127" s="111" t="s">
        <v>568</v>
      </c>
      <c r="I127" s="111"/>
    </row>
    <row r="128" spans="2:9">
      <c r="B128" s="122">
        <v>118</v>
      </c>
      <c r="C128" s="112" t="s">
        <v>881</v>
      </c>
      <c r="D128" s="111" t="s">
        <v>64</v>
      </c>
      <c r="E128" s="116" t="s">
        <v>882</v>
      </c>
      <c r="F128" s="114" t="s">
        <v>883</v>
      </c>
      <c r="G128" s="115">
        <v>40740</v>
      </c>
      <c r="H128" s="111" t="s">
        <v>568</v>
      </c>
      <c r="I128" s="111"/>
    </row>
    <row r="129" spans="2:9">
      <c r="B129" s="122">
        <v>119</v>
      </c>
      <c r="C129" s="112" t="s">
        <v>884</v>
      </c>
      <c r="D129" s="111" t="s">
        <v>10</v>
      </c>
      <c r="E129" s="116" t="s">
        <v>885</v>
      </c>
      <c r="F129" s="114" t="s">
        <v>886</v>
      </c>
      <c r="G129" s="115">
        <v>40642</v>
      </c>
      <c r="H129" s="111" t="s">
        <v>561</v>
      </c>
      <c r="I129" s="111" t="s">
        <v>325</v>
      </c>
    </row>
    <row r="130" spans="2:9">
      <c r="B130" s="122">
        <v>120</v>
      </c>
      <c r="C130" s="112" t="s">
        <v>887</v>
      </c>
      <c r="D130" s="111" t="s">
        <v>31</v>
      </c>
      <c r="E130" s="116" t="s">
        <v>733</v>
      </c>
      <c r="F130" s="117"/>
      <c r="G130" s="115">
        <v>40690</v>
      </c>
      <c r="H130" s="111" t="s">
        <v>568</v>
      </c>
      <c r="I130" s="111" t="s">
        <v>308</v>
      </c>
    </row>
    <row r="131" spans="2:9">
      <c r="B131" s="122">
        <v>121</v>
      </c>
      <c r="C131" s="112" t="s">
        <v>888</v>
      </c>
      <c r="D131" s="111" t="s">
        <v>53</v>
      </c>
      <c r="E131" s="116" t="s">
        <v>889</v>
      </c>
      <c r="F131" s="117"/>
      <c r="G131" s="115">
        <v>40576</v>
      </c>
      <c r="H131" s="111" t="s">
        <v>568</v>
      </c>
      <c r="I131" s="111"/>
    </row>
    <row r="132" spans="2:9">
      <c r="B132" s="122">
        <v>122</v>
      </c>
      <c r="C132" s="112" t="s">
        <v>890</v>
      </c>
      <c r="D132" s="111" t="s">
        <v>45</v>
      </c>
      <c r="E132" s="116" t="s">
        <v>891</v>
      </c>
      <c r="F132" s="117"/>
      <c r="G132" s="115">
        <v>40729</v>
      </c>
      <c r="H132" s="111" t="s">
        <v>568</v>
      </c>
      <c r="I132" s="111"/>
    </row>
    <row r="133" spans="2:9">
      <c r="B133" s="122">
        <v>123</v>
      </c>
      <c r="C133" s="112" t="s">
        <v>892</v>
      </c>
      <c r="D133" s="111" t="s">
        <v>158</v>
      </c>
      <c r="E133" s="116" t="s">
        <v>893</v>
      </c>
      <c r="F133" s="114" t="s">
        <v>894</v>
      </c>
      <c r="G133" s="115">
        <v>40768</v>
      </c>
      <c r="H133" s="111" t="s">
        <v>568</v>
      </c>
      <c r="I133" s="111" t="s">
        <v>319</v>
      </c>
    </row>
    <row r="134" spans="2:9">
      <c r="B134" s="122">
        <v>124</v>
      </c>
      <c r="C134" s="112" t="s">
        <v>895</v>
      </c>
      <c r="D134" s="111" t="s">
        <v>45</v>
      </c>
      <c r="E134" s="116" t="s">
        <v>753</v>
      </c>
      <c r="F134" s="117"/>
      <c r="G134" s="115">
        <v>40839</v>
      </c>
      <c r="H134" s="111" t="s">
        <v>568</v>
      </c>
      <c r="I134" s="111"/>
    </row>
    <row r="135" spans="2:9">
      <c r="B135" s="122">
        <v>125</v>
      </c>
      <c r="C135" s="112" t="s">
        <v>896</v>
      </c>
      <c r="D135" s="111" t="s">
        <v>45</v>
      </c>
      <c r="E135" s="116" t="s">
        <v>753</v>
      </c>
      <c r="F135" s="117"/>
      <c r="G135" s="115">
        <v>40857</v>
      </c>
      <c r="H135" s="111" t="s">
        <v>568</v>
      </c>
      <c r="I135" s="111"/>
    </row>
    <row r="136" spans="2:9">
      <c r="B136" s="122">
        <v>126</v>
      </c>
      <c r="C136" s="112" t="s">
        <v>897</v>
      </c>
      <c r="D136" s="111" t="s">
        <v>113</v>
      </c>
      <c r="E136" s="116" t="s">
        <v>898</v>
      </c>
      <c r="F136" s="117"/>
      <c r="G136" s="115">
        <v>40731</v>
      </c>
      <c r="H136" s="111" t="s">
        <v>561</v>
      </c>
      <c r="I136" s="111"/>
    </row>
    <row r="137" spans="2:9">
      <c r="B137" s="122">
        <v>127</v>
      </c>
      <c r="C137" s="112" t="s">
        <v>899</v>
      </c>
      <c r="D137" s="111" t="s">
        <v>16</v>
      </c>
      <c r="E137" s="116" t="s">
        <v>900</v>
      </c>
      <c r="F137" s="117"/>
      <c r="G137" s="115">
        <v>40627</v>
      </c>
      <c r="H137" s="111" t="s">
        <v>561</v>
      </c>
      <c r="I137" s="111"/>
    </row>
    <row r="138" spans="2:9">
      <c r="B138" s="122">
        <v>128</v>
      </c>
      <c r="C138" s="112" t="s">
        <v>901</v>
      </c>
      <c r="D138" s="111" t="s">
        <v>14</v>
      </c>
      <c r="E138" s="116" t="s">
        <v>902</v>
      </c>
      <c r="F138" s="117"/>
      <c r="G138" s="115">
        <v>40690</v>
      </c>
      <c r="H138" s="111" t="s">
        <v>568</v>
      </c>
      <c r="I138" s="111"/>
    </row>
    <row r="139" spans="2:9">
      <c r="B139" s="122">
        <v>129</v>
      </c>
      <c r="C139" s="112" t="s">
        <v>903</v>
      </c>
      <c r="D139" s="111" t="s">
        <v>14</v>
      </c>
      <c r="E139" s="116"/>
      <c r="F139" s="117"/>
      <c r="G139" s="115">
        <v>40773</v>
      </c>
      <c r="H139" s="111" t="s">
        <v>568</v>
      </c>
      <c r="I139" s="111"/>
    </row>
    <row r="140" spans="2:9">
      <c r="B140" s="122">
        <v>130</v>
      </c>
      <c r="C140" s="112" t="s">
        <v>904</v>
      </c>
      <c r="D140" s="111" t="s">
        <v>31</v>
      </c>
      <c r="E140" s="116" t="s">
        <v>905</v>
      </c>
      <c r="F140" s="117"/>
      <c r="G140" s="115">
        <v>40773</v>
      </c>
      <c r="H140" s="111" t="s">
        <v>568</v>
      </c>
      <c r="I140" s="111"/>
    </row>
    <row r="141" spans="2:9">
      <c r="B141" s="122">
        <v>131</v>
      </c>
      <c r="C141" s="112" t="s">
        <v>906</v>
      </c>
      <c r="D141" s="111" t="s">
        <v>99</v>
      </c>
      <c r="E141" s="116" t="s">
        <v>907</v>
      </c>
      <c r="F141" s="117"/>
      <c r="G141" s="115">
        <v>40700</v>
      </c>
      <c r="H141" s="111" t="s">
        <v>568</v>
      </c>
      <c r="I141" s="111"/>
    </row>
    <row r="142" spans="2:9">
      <c r="B142" s="122">
        <v>132</v>
      </c>
      <c r="C142" s="112" t="s">
        <v>908</v>
      </c>
      <c r="D142" s="111" t="s">
        <v>71</v>
      </c>
      <c r="E142" s="116" t="s">
        <v>909</v>
      </c>
      <c r="F142" s="114" t="s">
        <v>910</v>
      </c>
      <c r="G142" s="115"/>
      <c r="H142" s="111" t="s">
        <v>568</v>
      </c>
      <c r="I142" s="111"/>
    </row>
    <row r="143" spans="2:9">
      <c r="B143" s="122">
        <v>133</v>
      </c>
      <c r="C143" s="112" t="s">
        <v>911</v>
      </c>
      <c r="D143" s="111"/>
      <c r="E143" s="111">
        <v>8062434137</v>
      </c>
      <c r="F143" s="117"/>
      <c r="G143" s="115">
        <v>41939</v>
      </c>
      <c r="H143" s="111" t="s">
        <v>568</v>
      </c>
      <c r="I143" s="111"/>
    </row>
    <row r="144" spans="2:9">
      <c r="B144" s="122">
        <v>134</v>
      </c>
      <c r="C144" s="112" t="s">
        <v>912</v>
      </c>
      <c r="D144" s="111" t="s">
        <v>75</v>
      </c>
      <c r="E144" s="111">
        <v>7033951230</v>
      </c>
      <c r="F144" s="117"/>
      <c r="G144" s="115">
        <v>41713</v>
      </c>
      <c r="H144" s="111" t="s">
        <v>561</v>
      </c>
      <c r="I144" s="111" t="s">
        <v>363</v>
      </c>
    </row>
    <row r="145" spans="2:9">
      <c r="B145" s="122">
        <v>135</v>
      </c>
      <c r="C145" s="112" t="s">
        <v>913</v>
      </c>
      <c r="D145" s="111"/>
      <c r="E145" s="111">
        <v>7031374908</v>
      </c>
      <c r="F145" s="117"/>
      <c r="G145" s="115">
        <v>41869</v>
      </c>
      <c r="H145" s="111" t="s">
        <v>561</v>
      </c>
      <c r="I145" s="111" t="s">
        <v>325</v>
      </c>
    </row>
    <row r="146" spans="2:9">
      <c r="B146" s="122">
        <v>136</v>
      </c>
      <c r="C146" s="112" t="s">
        <v>896</v>
      </c>
      <c r="D146" s="111"/>
      <c r="E146" s="111">
        <v>7032026773</v>
      </c>
      <c r="F146" s="117"/>
      <c r="G146" s="115">
        <v>41953</v>
      </c>
      <c r="H146" s="111" t="s">
        <v>568</v>
      </c>
      <c r="I146" s="111"/>
    </row>
    <row r="147" spans="2:9">
      <c r="B147" s="122">
        <v>137</v>
      </c>
      <c r="C147" s="112" t="s">
        <v>914</v>
      </c>
      <c r="D147" s="111"/>
      <c r="E147" s="111">
        <v>7068950013</v>
      </c>
      <c r="F147" s="117"/>
      <c r="G147" s="115">
        <v>41723</v>
      </c>
      <c r="H147" s="111" t="s">
        <v>561</v>
      </c>
      <c r="I147" s="111"/>
    </row>
    <row r="148" spans="2:9">
      <c r="B148" s="122">
        <v>138</v>
      </c>
      <c r="C148" s="120" t="s">
        <v>915</v>
      </c>
      <c r="D148" s="111" t="s">
        <v>144</v>
      </c>
      <c r="E148" s="122">
        <v>8068118888</v>
      </c>
      <c r="F148" s="117"/>
      <c r="G148" s="115">
        <v>41808</v>
      </c>
      <c r="H148" s="122" t="s">
        <v>568</v>
      </c>
      <c r="I148" s="111" t="s">
        <v>312</v>
      </c>
    </row>
    <row r="149" spans="2:9">
      <c r="B149" s="122">
        <v>139</v>
      </c>
      <c r="C149" s="120" t="s">
        <v>916</v>
      </c>
      <c r="D149" s="111" t="s">
        <v>29</v>
      </c>
      <c r="E149" s="122">
        <v>7036314317</v>
      </c>
      <c r="F149" s="117"/>
      <c r="G149" s="115">
        <v>41924</v>
      </c>
      <c r="H149" s="122" t="s">
        <v>561</v>
      </c>
      <c r="I149" s="111" t="s">
        <v>350</v>
      </c>
    </row>
    <row r="150" spans="2:9">
      <c r="B150" s="122">
        <v>140</v>
      </c>
      <c r="C150" s="120" t="s">
        <v>917</v>
      </c>
      <c r="D150" s="111" t="s">
        <v>10</v>
      </c>
      <c r="E150" s="122">
        <v>8100082301</v>
      </c>
      <c r="F150" s="117"/>
      <c r="G150" s="115">
        <v>41700</v>
      </c>
      <c r="H150" s="122" t="s">
        <v>561</v>
      </c>
      <c r="I150" s="111" t="s">
        <v>624</v>
      </c>
    </row>
    <row r="151" spans="2:9">
      <c r="B151" s="122">
        <v>141</v>
      </c>
      <c r="C151" s="120" t="s">
        <v>918</v>
      </c>
      <c r="D151" s="111" t="s">
        <v>27</v>
      </c>
      <c r="E151" s="122">
        <v>8074582113</v>
      </c>
      <c r="F151" s="117"/>
      <c r="G151" s="115">
        <v>41676</v>
      </c>
      <c r="H151" s="122" t="s">
        <v>568</v>
      </c>
      <c r="I151" s="111" t="s">
        <v>624</v>
      </c>
    </row>
    <row r="152" spans="2:9">
      <c r="B152" s="122">
        <v>142</v>
      </c>
      <c r="C152" s="120" t="s">
        <v>919</v>
      </c>
      <c r="D152" s="111" t="s">
        <v>27</v>
      </c>
      <c r="E152" s="122">
        <v>7063434106</v>
      </c>
      <c r="F152" s="117"/>
      <c r="G152" s="115">
        <v>41762</v>
      </c>
      <c r="H152" s="122" t="s">
        <v>568</v>
      </c>
      <c r="I152" s="111" t="s">
        <v>581</v>
      </c>
    </row>
    <row r="153" spans="2:9">
      <c r="B153" s="122">
        <v>143</v>
      </c>
      <c r="C153" s="120" t="s">
        <v>920</v>
      </c>
      <c r="D153" s="111"/>
      <c r="E153" s="122">
        <v>8137227151</v>
      </c>
      <c r="F153" s="117"/>
      <c r="G153" s="115">
        <v>41868</v>
      </c>
      <c r="H153" s="122" t="s">
        <v>561</v>
      </c>
      <c r="I153" s="111"/>
    </row>
    <row r="154" spans="2:9">
      <c r="B154" s="122">
        <v>144</v>
      </c>
      <c r="C154" s="120" t="s">
        <v>921</v>
      </c>
      <c r="D154" s="111" t="s">
        <v>53</v>
      </c>
      <c r="E154" s="122">
        <v>8063172562</v>
      </c>
      <c r="F154" s="117"/>
      <c r="G154" s="115">
        <v>41904</v>
      </c>
      <c r="H154" s="122" t="s">
        <v>561</v>
      </c>
      <c r="I154" s="111"/>
    </row>
    <row r="155" spans="2:9">
      <c r="B155" s="122">
        <v>145</v>
      </c>
      <c r="C155" s="120" t="s">
        <v>922</v>
      </c>
      <c r="D155" s="111"/>
      <c r="E155" s="122">
        <v>7032527136</v>
      </c>
      <c r="F155" s="117"/>
      <c r="G155" s="115">
        <v>41750</v>
      </c>
      <c r="H155" s="122" t="s">
        <v>568</v>
      </c>
      <c r="I155" s="111"/>
    </row>
    <row r="156" spans="2:9">
      <c r="B156" s="122">
        <v>146</v>
      </c>
      <c r="C156" s="120" t="s">
        <v>923</v>
      </c>
      <c r="D156" s="111" t="s">
        <v>71</v>
      </c>
      <c r="E156" s="122">
        <v>7035043468</v>
      </c>
      <c r="F156" s="117"/>
      <c r="G156" s="115">
        <v>41848</v>
      </c>
      <c r="H156" s="122" t="s">
        <v>568</v>
      </c>
      <c r="I156" s="111"/>
    </row>
    <row r="157" spans="2:9">
      <c r="B157" s="122">
        <v>147</v>
      </c>
      <c r="C157" s="120" t="s">
        <v>924</v>
      </c>
      <c r="D157" s="111" t="s">
        <v>21</v>
      </c>
      <c r="E157" s="122">
        <v>8131152221</v>
      </c>
      <c r="F157" s="117"/>
      <c r="G157" s="115">
        <v>41887</v>
      </c>
      <c r="H157" s="122" t="s">
        <v>568</v>
      </c>
      <c r="I157" s="111"/>
    </row>
    <row r="158" spans="2:9">
      <c r="B158" s="122">
        <v>148</v>
      </c>
      <c r="C158" s="120" t="s">
        <v>925</v>
      </c>
      <c r="D158" s="111" t="s">
        <v>43</v>
      </c>
      <c r="E158" s="122">
        <v>8134601818</v>
      </c>
      <c r="F158" s="117"/>
      <c r="G158" s="115">
        <v>41753</v>
      </c>
      <c r="H158" s="122" t="s">
        <v>568</v>
      </c>
      <c r="I158" s="111" t="s">
        <v>312</v>
      </c>
    </row>
    <row r="159" spans="2:9">
      <c r="B159" s="122">
        <v>149</v>
      </c>
      <c r="C159" s="120" t="s">
        <v>926</v>
      </c>
      <c r="D159" s="111" t="s">
        <v>16</v>
      </c>
      <c r="E159" s="122">
        <v>7036411787</v>
      </c>
      <c r="F159" s="117"/>
      <c r="G159" s="115">
        <v>41777</v>
      </c>
      <c r="H159" s="122" t="s">
        <v>561</v>
      </c>
      <c r="I159" s="111"/>
    </row>
    <row r="160" spans="2:9">
      <c r="B160" s="122">
        <v>150</v>
      </c>
      <c r="C160" s="112" t="s">
        <v>927</v>
      </c>
      <c r="D160" s="111" t="s">
        <v>27</v>
      </c>
      <c r="E160" s="122">
        <v>8062591860</v>
      </c>
      <c r="F160" s="114" t="s">
        <v>928</v>
      </c>
      <c r="G160" s="115">
        <v>41851</v>
      </c>
      <c r="H160" s="111" t="s">
        <v>568</v>
      </c>
      <c r="I160" s="111"/>
    </row>
    <row r="161" spans="2:9">
      <c r="B161" s="122">
        <v>151</v>
      </c>
      <c r="C161" s="112" t="s">
        <v>929</v>
      </c>
      <c r="D161" s="122" t="s">
        <v>118</v>
      </c>
      <c r="E161" s="122">
        <v>7038012736</v>
      </c>
      <c r="F161" s="114" t="s">
        <v>930</v>
      </c>
      <c r="G161" s="115">
        <v>41767</v>
      </c>
      <c r="H161" s="111" t="s">
        <v>568</v>
      </c>
      <c r="I161" s="111"/>
    </row>
    <row r="162" spans="2:9">
      <c r="B162" s="122">
        <v>152</v>
      </c>
      <c r="C162" s="112" t="s">
        <v>931</v>
      </c>
      <c r="D162" s="122" t="s">
        <v>29</v>
      </c>
      <c r="E162" s="122">
        <v>7039319282</v>
      </c>
      <c r="F162" s="114" t="s">
        <v>932</v>
      </c>
      <c r="G162" s="115">
        <v>41941</v>
      </c>
      <c r="H162" s="111" t="s">
        <v>561</v>
      </c>
      <c r="I162" s="111"/>
    </row>
    <row r="163" spans="2:9">
      <c r="B163" s="122">
        <v>153</v>
      </c>
      <c r="C163" s="112" t="s">
        <v>933</v>
      </c>
      <c r="D163" s="122" t="s">
        <v>118</v>
      </c>
      <c r="E163" s="122">
        <v>7033122730</v>
      </c>
      <c r="F163" s="114" t="s">
        <v>934</v>
      </c>
      <c r="G163" s="115">
        <v>41725</v>
      </c>
      <c r="H163" s="111" t="s">
        <v>568</v>
      </c>
      <c r="I163" s="111"/>
    </row>
    <row r="164" spans="2:9">
      <c r="B164" s="122">
        <v>154</v>
      </c>
      <c r="C164" s="112" t="s">
        <v>935</v>
      </c>
      <c r="D164" s="122" t="s">
        <v>38</v>
      </c>
      <c r="E164" s="122">
        <v>7034207441</v>
      </c>
      <c r="F164" s="114" t="s">
        <v>936</v>
      </c>
      <c r="G164" s="115">
        <v>41735</v>
      </c>
      <c r="H164" s="122" t="s">
        <v>568</v>
      </c>
      <c r="I164" s="111"/>
    </row>
    <row r="165" spans="2:9">
      <c r="B165" s="122">
        <v>155</v>
      </c>
      <c r="C165" s="112" t="s">
        <v>937</v>
      </c>
      <c r="D165" s="122" t="s">
        <v>25</v>
      </c>
      <c r="E165" s="122">
        <v>8160533940</v>
      </c>
      <c r="F165" s="114" t="s">
        <v>938</v>
      </c>
      <c r="G165" s="115">
        <v>41990</v>
      </c>
      <c r="H165" s="122" t="s">
        <v>568</v>
      </c>
      <c r="I165" s="111"/>
    </row>
    <row r="166" spans="2:9">
      <c r="B166" s="122">
        <v>156</v>
      </c>
      <c r="C166" s="112" t="s">
        <v>939</v>
      </c>
      <c r="D166" s="122" t="s">
        <v>158</v>
      </c>
      <c r="E166" s="122">
        <v>7068431973</v>
      </c>
      <c r="F166" s="114" t="s">
        <v>940</v>
      </c>
      <c r="G166" s="115">
        <v>41661</v>
      </c>
      <c r="H166" s="122" t="s">
        <v>561</v>
      </c>
      <c r="I166" s="111"/>
    </row>
    <row r="167" spans="2:9">
      <c r="B167" s="122">
        <v>157</v>
      </c>
      <c r="C167" s="112" t="s">
        <v>941</v>
      </c>
      <c r="D167" s="122" t="s">
        <v>118</v>
      </c>
      <c r="E167" s="122">
        <v>8064237895</v>
      </c>
      <c r="F167" s="114" t="s">
        <v>942</v>
      </c>
      <c r="G167" s="115">
        <v>41732</v>
      </c>
      <c r="H167" s="122" t="s">
        <v>568</v>
      </c>
      <c r="I167" s="117"/>
    </row>
    <row r="168" spans="2:9">
      <c r="B168" s="122">
        <v>158</v>
      </c>
      <c r="C168" s="112" t="s">
        <v>943</v>
      </c>
      <c r="D168" s="122" t="s">
        <v>14</v>
      </c>
      <c r="E168" s="122">
        <v>7035838892</v>
      </c>
      <c r="F168" s="114" t="s">
        <v>944</v>
      </c>
      <c r="G168" s="115">
        <v>41943</v>
      </c>
      <c r="H168" s="122" t="s">
        <v>568</v>
      </c>
      <c r="I168" s="117"/>
    </row>
    <row r="169" spans="2:9">
      <c r="B169" s="122">
        <v>159</v>
      </c>
      <c r="C169" s="112" t="s">
        <v>945</v>
      </c>
      <c r="D169" s="122" t="s">
        <v>21</v>
      </c>
      <c r="E169" s="122">
        <v>8066697588</v>
      </c>
      <c r="F169" s="114" t="s">
        <v>946</v>
      </c>
      <c r="G169" s="115">
        <v>41768</v>
      </c>
      <c r="H169" s="122" t="s">
        <v>568</v>
      </c>
      <c r="I169" s="117"/>
    </row>
  </sheetData>
  <hyperlinks>
    <hyperlink ref="F29" r:id="rId1"/>
    <hyperlink ref="F34" r:id="rId2"/>
    <hyperlink ref="F11" r:id="rId3"/>
    <hyperlink ref="F37" r:id="rId4"/>
    <hyperlink ref="F38" r:id="rId5"/>
    <hyperlink ref="F39" r:id="rId6"/>
    <hyperlink ref="F60" r:id="rId7"/>
    <hyperlink ref="F61" r:id="rId8"/>
    <hyperlink ref="F62" r:id="rId9"/>
    <hyperlink ref="F64" r:id="rId10"/>
    <hyperlink ref="F65" r:id="rId11"/>
    <hyperlink ref="F66" r:id="rId12"/>
    <hyperlink ref="F67" r:id="rId13"/>
    <hyperlink ref="F68" r:id="rId14"/>
    <hyperlink ref="F69" r:id="rId15"/>
    <hyperlink ref="F70" r:id="rId16"/>
    <hyperlink ref="F71" r:id="rId17"/>
    <hyperlink ref="F72" r:id="rId18"/>
    <hyperlink ref="F42" r:id="rId19"/>
    <hyperlink ref="F81" r:id="rId20"/>
    <hyperlink ref="F82" r:id="rId21"/>
    <hyperlink ref="F83" r:id="rId22"/>
    <hyperlink ref="F84" r:id="rId23"/>
    <hyperlink ref="F85" r:id="rId24"/>
    <hyperlink ref="F86" r:id="rId25"/>
    <hyperlink ref="F87" r:id="rId26"/>
    <hyperlink ref="F88" r:id="rId27"/>
    <hyperlink ref="F89" r:id="rId28"/>
    <hyperlink ref="F90" r:id="rId29"/>
    <hyperlink ref="F91" r:id="rId30"/>
    <hyperlink ref="F92" r:id="rId31"/>
    <hyperlink ref="F93" r:id="rId32"/>
    <hyperlink ref="F95" r:id="rId33"/>
    <hyperlink ref="F96" r:id="rId34"/>
    <hyperlink ref="F97" r:id="rId35"/>
    <hyperlink ref="F98" r:id="rId36"/>
    <hyperlink ref="F99" r:id="rId37"/>
    <hyperlink ref="F100" r:id="rId38"/>
    <hyperlink ref="F102" r:id="rId39"/>
    <hyperlink ref="F103" r:id="rId40"/>
    <hyperlink ref="F104" r:id="rId41"/>
    <hyperlink ref="F105" r:id="rId42"/>
    <hyperlink ref="F106" r:id="rId43"/>
    <hyperlink ref="F107" r:id="rId44"/>
    <hyperlink ref="F108" r:id="rId45"/>
    <hyperlink ref="F109" r:id="rId46"/>
    <hyperlink ref="F110" r:id="rId47"/>
    <hyperlink ref="F111" r:id="rId48"/>
    <hyperlink ref="F112" r:id="rId49"/>
    <hyperlink ref="F113" r:id="rId50"/>
    <hyperlink ref="F115" r:id="rId51"/>
    <hyperlink ref="F117" r:id="rId52"/>
    <hyperlink ref="F119" r:id="rId53"/>
    <hyperlink ref="F120" r:id="rId54"/>
    <hyperlink ref="F121" r:id="rId55"/>
    <hyperlink ref="F122" r:id="rId56"/>
    <hyperlink ref="F123" r:id="rId57"/>
    <hyperlink ref="F124" r:id="rId58"/>
    <hyperlink ref="F125" r:id="rId59"/>
    <hyperlink ref="F126" r:id="rId60"/>
    <hyperlink ref="F127" r:id="rId61"/>
    <hyperlink ref="F128" r:id="rId62"/>
    <hyperlink ref="F129" r:id="rId63"/>
    <hyperlink ref="F142" r:id="rId64"/>
    <hyperlink ref="F27" r:id="rId65"/>
    <hyperlink ref="F73" r:id="rId66"/>
    <hyperlink ref="F14" r:id="rId67"/>
    <hyperlink ref="F36" r:id="rId68"/>
    <hyperlink ref="F48" r:id="rId69"/>
    <hyperlink ref="F74" r:id="rId70"/>
    <hyperlink ref="F79" r:id="rId71"/>
    <hyperlink ref="F94" r:id="rId72"/>
    <hyperlink ref="F13" r:id="rId73"/>
    <hyperlink ref="F16" r:id="rId74"/>
    <hyperlink ref="F20" r:id="rId75"/>
    <hyperlink ref="F22" r:id="rId76"/>
    <hyperlink ref="F26" r:id="rId77"/>
    <hyperlink ref="F30" r:id="rId78"/>
    <hyperlink ref="F46" r:id="rId79"/>
    <hyperlink ref="F49" r:id="rId80"/>
    <hyperlink ref="F51" r:id="rId81"/>
    <hyperlink ref="F52" r:id="rId82"/>
    <hyperlink ref="F78" r:id="rId83"/>
    <hyperlink ref="F133" r:id="rId84"/>
    <hyperlink ref="F15" r:id="rId85"/>
    <hyperlink ref="F21" r:id="rId86"/>
    <hyperlink ref="F12" r:id="rId87"/>
    <hyperlink ref="F17" r:id="rId88"/>
    <hyperlink ref="F54" r:id="rId89"/>
    <hyperlink ref="F56" r:id="rId90"/>
    <hyperlink ref="F53" r:id="rId91"/>
    <hyperlink ref="F43" r:id="rId92"/>
    <hyperlink ref="F160" r:id="rId93"/>
    <hyperlink ref="F161" r:id="rId94"/>
    <hyperlink ref="F162" r:id="rId95"/>
    <hyperlink ref="F163" r:id="rId96"/>
    <hyperlink ref="F164" r:id="rId97"/>
    <hyperlink ref="F165" r:id="rId98"/>
    <hyperlink ref="F166" r:id="rId99"/>
    <hyperlink ref="F167" r:id="rId100"/>
    <hyperlink ref="F168" r:id="rId101"/>
    <hyperlink ref="F169" r:id="rId102"/>
    <hyperlink ref="F58" r:id="rId103"/>
  </hyperlinks>
  <pageMargins left="0.7" right="0.7" top="0.75" bottom="0.75" header="0.3" footer="0.3"/>
  <pageSetup paperSize="0"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C3:L194"/>
  <sheetViews>
    <sheetView topLeftCell="A173" workbookViewId="0">
      <selection activeCell="J12" sqref="J12:J193"/>
    </sheetView>
  </sheetViews>
  <sheetFormatPr defaultColWidth="9" defaultRowHeight="15"/>
  <cols>
    <col min="1" max="2" width="8.5703125" customWidth="1"/>
    <col min="3" max="3" width="5.7109375" style="106" customWidth="1"/>
    <col min="4" max="4" width="0.140625" customWidth="1"/>
    <col min="5" max="5" width="9.140625" hidden="1"/>
    <col min="6" max="6" width="38.7109375" customWidth="1"/>
    <col min="7" max="7" width="8.5703125" customWidth="1"/>
    <col min="8" max="8" width="9.140625" customWidth="1"/>
    <col min="9" max="9" width="0.140625" customWidth="1"/>
    <col min="10" max="10" width="16.7109375" customWidth="1"/>
    <col min="11" max="11" width="14.42578125" customWidth="1"/>
    <col min="12" max="12" width="17.85546875" customWidth="1"/>
    <col min="13" max="256" width="8.5703125" customWidth="1"/>
  </cols>
  <sheetData>
    <row r="3" spans="3:12" ht="15.75">
      <c r="E3" s="42"/>
      <c r="F3" s="43"/>
      <c r="H3" s="44" t="s">
        <v>0</v>
      </c>
      <c r="I3" s="42"/>
    </row>
    <row r="4" spans="3:12" ht="15.75">
      <c r="E4" s="42"/>
      <c r="F4" s="43"/>
      <c r="H4" s="44" t="s">
        <v>1</v>
      </c>
      <c r="I4" s="42"/>
    </row>
    <row r="5" spans="3:12" ht="15.75">
      <c r="E5" s="42"/>
      <c r="F5" s="45"/>
      <c r="H5" s="46" t="s">
        <v>2</v>
      </c>
      <c r="I5" s="42"/>
    </row>
    <row r="6" spans="3:12" ht="15.75">
      <c r="D6" s="42"/>
      <c r="E6" s="45"/>
      <c r="G6" s="46"/>
      <c r="H6" s="42"/>
    </row>
    <row r="7" spans="3:12">
      <c r="D7" s="60" t="s">
        <v>951</v>
      </c>
      <c r="E7" s="61"/>
      <c r="F7" s="61"/>
      <c r="G7" s="61"/>
      <c r="H7" s="61"/>
    </row>
    <row r="8" spans="3:12" ht="15.75">
      <c r="D8" s="62" t="s">
        <v>949</v>
      </c>
      <c r="E8" s="61"/>
      <c r="F8" s="61"/>
      <c r="G8" s="61"/>
      <c r="H8" s="61"/>
    </row>
    <row r="11" spans="3:12" ht="15.75">
      <c r="C11" s="125" t="s">
        <v>3</v>
      </c>
      <c r="D11" s="126" t="s">
        <v>555</v>
      </c>
      <c r="E11" s="127"/>
      <c r="F11" s="128" t="s">
        <v>4</v>
      </c>
      <c r="G11" s="128" t="s">
        <v>6</v>
      </c>
      <c r="H11" s="128" t="s">
        <v>7</v>
      </c>
      <c r="I11" s="71"/>
      <c r="J11" s="129" t="s">
        <v>1277</v>
      </c>
      <c r="K11" s="130" t="s">
        <v>558</v>
      </c>
      <c r="L11" s="130" t="s">
        <v>545</v>
      </c>
    </row>
    <row r="12" spans="3:12">
      <c r="C12" s="131">
        <v>1</v>
      </c>
      <c r="D12" s="71"/>
      <c r="E12" s="71"/>
      <c r="F12" s="71" t="s">
        <v>3116</v>
      </c>
      <c r="G12" s="71"/>
      <c r="H12" s="71" t="s">
        <v>144</v>
      </c>
      <c r="I12" s="71"/>
      <c r="J12" s="132" t="s">
        <v>3117</v>
      </c>
      <c r="K12" s="71" t="s">
        <v>3118</v>
      </c>
      <c r="L12" s="71"/>
    </row>
    <row r="13" spans="3:12">
      <c r="C13" s="131">
        <v>2</v>
      </c>
      <c r="D13" s="71"/>
      <c r="E13" s="71"/>
      <c r="F13" s="71" t="s">
        <v>3119</v>
      </c>
      <c r="G13" s="71"/>
      <c r="H13" s="71" t="s">
        <v>27</v>
      </c>
      <c r="I13" s="71"/>
      <c r="J13" s="133" t="s">
        <v>3120</v>
      </c>
      <c r="K13" s="71" t="s">
        <v>3121</v>
      </c>
      <c r="L13" s="71"/>
    </row>
    <row r="14" spans="3:12" ht="15.75">
      <c r="C14" s="134">
        <v>3</v>
      </c>
      <c r="D14" s="135"/>
      <c r="E14" s="136"/>
      <c r="F14" s="136" t="s">
        <v>3122</v>
      </c>
      <c r="G14" s="137"/>
      <c r="H14" s="138" t="s">
        <v>71</v>
      </c>
      <c r="I14" s="135"/>
      <c r="J14" s="139" t="s">
        <v>3123</v>
      </c>
      <c r="K14" s="140" t="s">
        <v>3124</v>
      </c>
      <c r="L14" s="130"/>
    </row>
    <row r="15" spans="3:12">
      <c r="C15" s="131">
        <v>4</v>
      </c>
      <c r="D15" s="71"/>
      <c r="E15" s="71"/>
      <c r="F15" s="71" t="s">
        <v>3125</v>
      </c>
      <c r="G15" s="71"/>
      <c r="H15" s="71" t="s">
        <v>218</v>
      </c>
      <c r="I15" s="71"/>
      <c r="J15" s="133" t="s">
        <v>3126</v>
      </c>
      <c r="K15" s="71" t="s">
        <v>3127</v>
      </c>
      <c r="L15" s="71"/>
    </row>
    <row r="16" spans="3:12">
      <c r="C16" s="131">
        <v>5</v>
      </c>
      <c r="D16" s="71"/>
      <c r="E16" s="71"/>
      <c r="F16" s="71" t="s">
        <v>3128</v>
      </c>
      <c r="G16" s="71"/>
      <c r="H16" s="71" t="s">
        <v>99</v>
      </c>
      <c r="I16" s="71"/>
      <c r="J16" s="133" t="s">
        <v>3129</v>
      </c>
      <c r="K16" s="71" t="s">
        <v>3130</v>
      </c>
      <c r="L16" s="71"/>
    </row>
    <row r="17" spans="3:12">
      <c r="C17" s="131">
        <v>6</v>
      </c>
      <c r="D17" s="71"/>
      <c r="E17" s="71"/>
      <c r="F17" s="71" t="s">
        <v>3131</v>
      </c>
      <c r="G17" s="71"/>
      <c r="H17" s="71" t="s">
        <v>19</v>
      </c>
      <c r="I17" s="71"/>
      <c r="J17" s="133" t="s">
        <v>3132</v>
      </c>
      <c r="K17" s="71" t="s">
        <v>3130</v>
      </c>
      <c r="L17" s="71"/>
    </row>
    <row r="18" spans="3:12">
      <c r="C18" s="131">
        <v>7</v>
      </c>
      <c r="D18" s="71"/>
      <c r="E18" s="71"/>
      <c r="F18" s="71" t="s">
        <v>3133</v>
      </c>
      <c r="G18" s="71"/>
      <c r="H18" s="71" t="s">
        <v>21</v>
      </c>
      <c r="I18" s="71"/>
      <c r="J18" s="133" t="s">
        <v>3134</v>
      </c>
      <c r="K18" s="71" t="s">
        <v>3135</v>
      </c>
      <c r="L18" s="71"/>
    </row>
    <row r="19" spans="3:12">
      <c r="C19" s="131">
        <v>8</v>
      </c>
      <c r="D19" s="71"/>
      <c r="E19" s="71"/>
      <c r="F19" s="71" t="s">
        <v>3136</v>
      </c>
      <c r="G19" s="71"/>
      <c r="H19" s="71" t="s">
        <v>29</v>
      </c>
      <c r="I19" s="71"/>
      <c r="J19" s="133" t="s">
        <v>3137</v>
      </c>
      <c r="K19" s="71" t="s">
        <v>3138</v>
      </c>
      <c r="L19" s="71"/>
    </row>
    <row r="20" spans="3:12">
      <c r="C20" s="131">
        <v>9</v>
      </c>
      <c r="D20" s="71"/>
      <c r="E20" s="71"/>
      <c r="F20" s="71" t="s">
        <v>3139</v>
      </c>
      <c r="G20" s="71"/>
      <c r="H20" s="71" t="s">
        <v>96</v>
      </c>
      <c r="I20" s="71"/>
      <c r="J20" s="133" t="s">
        <v>3140</v>
      </c>
      <c r="K20" s="71" t="s">
        <v>3141</v>
      </c>
      <c r="L20" s="71"/>
    </row>
    <row r="21" spans="3:12">
      <c r="C21" s="131">
        <v>10</v>
      </c>
      <c r="D21" s="71"/>
      <c r="E21" s="71"/>
      <c r="F21" s="71" t="s">
        <v>3142</v>
      </c>
      <c r="G21" s="71"/>
      <c r="H21" s="71" t="s">
        <v>138</v>
      </c>
      <c r="I21" s="71"/>
      <c r="J21" s="133" t="s">
        <v>3143</v>
      </c>
      <c r="K21" s="71" t="s">
        <v>3144</v>
      </c>
      <c r="L21" s="71"/>
    </row>
    <row r="22" spans="3:12">
      <c r="C22" s="131">
        <v>11</v>
      </c>
      <c r="D22" s="71"/>
      <c r="E22" s="71"/>
      <c r="F22" s="71" t="s">
        <v>3145</v>
      </c>
      <c r="G22" s="71"/>
      <c r="H22" s="71" t="s">
        <v>53</v>
      </c>
      <c r="I22" s="71"/>
      <c r="J22" s="133" t="s">
        <v>3146</v>
      </c>
      <c r="K22" s="71" t="s">
        <v>3147</v>
      </c>
      <c r="L22" s="71"/>
    </row>
    <row r="23" spans="3:12">
      <c r="C23" s="131">
        <v>12</v>
      </c>
      <c r="D23" s="71"/>
      <c r="E23" s="71"/>
      <c r="F23" s="71" t="s">
        <v>3148</v>
      </c>
      <c r="G23" s="71"/>
      <c r="H23" s="71" t="s">
        <v>33</v>
      </c>
      <c r="I23" s="71"/>
      <c r="J23" s="133" t="s">
        <v>3149</v>
      </c>
      <c r="K23" s="71" t="s">
        <v>3150</v>
      </c>
      <c r="L23" s="71"/>
    </row>
    <row r="24" spans="3:12">
      <c r="C24" s="131">
        <v>13</v>
      </c>
      <c r="D24" s="71"/>
      <c r="E24" s="71"/>
      <c r="F24" s="71" t="s">
        <v>3151</v>
      </c>
      <c r="G24" s="71"/>
      <c r="H24" s="71" t="s">
        <v>144</v>
      </c>
      <c r="I24" s="71"/>
      <c r="J24" s="133" t="s">
        <v>3152</v>
      </c>
      <c r="K24" s="71" t="s">
        <v>3153</v>
      </c>
      <c r="L24" s="71"/>
    </row>
    <row r="25" spans="3:12">
      <c r="C25" s="131">
        <v>14</v>
      </c>
      <c r="D25" s="71"/>
      <c r="E25" s="71"/>
      <c r="F25" s="71" t="s">
        <v>3154</v>
      </c>
      <c r="G25" s="71"/>
      <c r="H25" s="71" t="s">
        <v>144</v>
      </c>
      <c r="I25" s="71"/>
      <c r="J25" s="133" t="s">
        <v>3155</v>
      </c>
      <c r="K25" s="71" t="s">
        <v>3156</v>
      </c>
      <c r="L25" s="71"/>
    </row>
    <row r="26" spans="3:12">
      <c r="C26" s="131">
        <v>15</v>
      </c>
      <c r="D26" s="71"/>
      <c r="E26" s="71"/>
      <c r="F26" s="71" t="s">
        <v>3157</v>
      </c>
      <c r="G26" s="71"/>
      <c r="H26" s="71" t="s">
        <v>10</v>
      </c>
      <c r="I26" s="71"/>
      <c r="J26" s="133" t="s">
        <v>3158</v>
      </c>
      <c r="K26" s="71" t="s">
        <v>3159</v>
      </c>
      <c r="L26" s="71"/>
    </row>
    <row r="27" spans="3:12">
      <c r="C27" s="131">
        <v>16</v>
      </c>
      <c r="D27" s="71"/>
      <c r="E27" s="71"/>
      <c r="F27" s="71" t="s">
        <v>3160</v>
      </c>
      <c r="G27" s="71"/>
      <c r="H27" s="71" t="s">
        <v>43</v>
      </c>
      <c r="I27" s="71"/>
      <c r="J27" s="133" t="s">
        <v>3161</v>
      </c>
      <c r="K27" s="71" t="s">
        <v>3162</v>
      </c>
      <c r="L27" s="71"/>
    </row>
    <row r="28" spans="3:12">
      <c r="C28" s="131">
        <v>17</v>
      </c>
      <c r="D28" s="71"/>
      <c r="E28" s="71"/>
      <c r="F28" s="71" t="s">
        <v>3163</v>
      </c>
      <c r="G28" s="71"/>
      <c r="H28" s="71" t="s">
        <v>99</v>
      </c>
      <c r="I28" s="71"/>
      <c r="J28" s="133" t="s">
        <v>3164</v>
      </c>
      <c r="K28" s="71" t="s">
        <v>3162</v>
      </c>
      <c r="L28" s="71"/>
    </row>
    <row r="29" spans="3:12">
      <c r="C29" s="131">
        <v>18</v>
      </c>
      <c r="D29" s="71"/>
      <c r="E29" s="71"/>
      <c r="F29" s="71" t="s">
        <v>3165</v>
      </c>
      <c r="G29" s="71"/>
      <c r="H29" s="71" t="s">
        <v>3166</v>
      </c>
      <c r="I29" s="71"/>
      <c r="J29" s="133" t="s">
        <v>3167</v>
      </c>
      <c r="K29" s="71" t="s">
        <v>3162</v>
      </c>
      <c r="L29" s="71"/>
    </row>
    <row r="30" spans="3:12">
      <c r="C30" s="131">
        <v>19</v>
      </c>
      <c r="D30" s="71"/>
      <c r="E30" s="71"/>
      <c r="F30" s="71" t="s">
        <v>3168</v>
      </c>
      <c r="G30" s="71"/>
      <c r="H30" s="71" t="s">
        <v>144</v>
      </c>
      <c r="I30" s="71"/>
      <c r="J30" s="133" t="s">
        <v>3169</v>
      </c>
      <c r="K30" s="71" t="s">
        <v>3170</v>
      </c>
      <c r="L30" s="71"/>
    </row>
    <row r="31" spans="3:12">
      <c r="C31" s="131">
        <v>20</v>
      </c>
      <c r="D31" s="71"/>
      <c r="E31" s="71"/>
      <c r="F31" s="71" t="s">
        <v>3171</v>
      </c>
      <c r="G31" s="71"/>
      <c r="H31" s="71" t="s">
        <v>118</v>
      </c>
      <c r="I31" s="71"/>
      <c r="J31" s="133" t="s">
        <v>3172</v>
      </c>
      <c r="K31" s="71" t="s">
        <v>3170</v>
      </c>
      <c r="L31" s="71"/>
    </row>
    <row r="32" spans="3:12">
      <c r="C32" s="131">
        <v>21</v>
      </c>
      <c r="D32" s="71"/>
      <c r="E32" s="71"/>
      <c r="F32" s="71" t="s">
        <v>3173</v>
      </c>
      <c r="G32" s="71"/>
      <c r="H32" s="71" t="s">
        <v>43</v>
      </c>
      <c r="I32" s="71"/>
      <c r="J32" s="133" t="s">
        <v>3174</v>
      </c>
      <c r="K32" s="71" t="s">
        <v>3170</v>
      </c>
      <c r="L32" s="71"/>
    </row>
    <row r="33" spans="3:12">
      <c r="C33" s="131">
        <v>22</v>
      </c>
      <c r="D33" s="71"/>
      <c r="E33" s="71"/>
      <c r="F33" s="71" t="s">
        <v>3175</v>
      </c>
      <c r="G33" s="71"/>
      <c r="H33" s="71" t="s">
        <v>158</v>
      </c>
      <c r="I33" s="71"/>
      <c r="J33" s="133" t="s">
        <v>3176</v>
      </c>
      <c r="K33" s="71" t="s">
        <v>3177</v>
      </c>
      <c r="L33" s="71"/>
    </row>
    <row r="34" spans="3:12">
      <c r="C34" s="131">
        <v>23</v>
      </c>
      <c r="D34" s="71"/>
      <c r="E34" s="71"/>
      <c r="F34" s="71" t="s">
        <v>3178</v>
      </c>
      <c r="G34" s="71"/>
      <c r="H34" s="71" t="s">
        <v>19</v>
      </c>
      <c r="I34" s="71"/>
      <c r="J34" s="133" t="s">
        <v>3179</v>
      </c>
      <c r="K34" s="71" t="s">
        <v>3180</v>
      </c>
      <c r="L34" s="71"/>
    </row>
    <row r="35" spans="3:12">
      <c r="C35" s="131">
        <v>24</v>
      </c>
      <c r="D35" s="71"/>
      <c r="E35" s="71"/>
      <c r="F35" s="71" t="s">
        <v>3181</v>
      </c>
      <c r="G35" s="71"/>
      <c r="H35" s="71" t="s">
        <v>132</v>
      </c>
      <c r="I35" s="71"/>
      <c r="J35" s="133" t="s">
        <v>3182</v>
      </c>
      <c r="K35" s="71" t="s">
        <v>3183</v>
      </c>
      <c r="L35" s="71"/>
    </row>
    <row r="36" spans="3:12">
      <c r="C36" s="131">
        <v>25</v>
      </c>
      <c r="D36" s="71"/>
      <c r="E36" s="71"/>
      <c r="F36" s="71" t="s">
        <v>3184</v>
      </c>
      <c r="G36" s="71"/>
      <c r="H36" s="71" t="s">
        <v>10</v>
      </c>
      <c r="I36" s="71"/>
      <c r="J36" s="133" t="s">
        <v>3185</v>
      </c>
      <c r="K36" s="71" t="s">
        <v>3186</v>
      </c>
      <c r="L36" s="71"/>
    </row>
    <row r="37" spans="3:12">
      <c r="C37" s="131">
        <v>26</v>
      </c>
      <c r="D37" s="71"/>
      <c r="E37" s="71"/>
      <c r="F37" s="71" t="s">
        <v>3187</v>
      </c>
      <c r="G37" s="71"/>
      <c r="H37" s="71" t="s">
        <v>45</v>
      </c>
      <c r="I37" s="71"/>
      <c r="J37" s="133" t="s">
        <v>3188</v>
      </c>
      <c r="K37" s="71" t="s">
        <v>3189</v>
      </c>
      <c r="L37" s="71"/>
    </row>
    <row r="38" spans="3:12">
      <c r="C38" s="131">
        <v>27</v>
      </c>
      <c r="D38" s="71"/>
      <c r="E38" s="71"/>
      <c r="F38" s="71" t="s">
        <v>3190</v>
      </c>
      <c r="G38" s="71"/>
      <c r="H38" s="71" t="s">
        <v>113</v>
      </c>
      <c r="I38" s="71"/>
      <c r="J38" s="133" t="s">
        <v>3191</v>
      </c>
      <c r="K38" s="71" t="s">
        <v>3192</v>
      </c>
      <c r="L38" s="71"/>
    </row>
    <row r="39" spans="3:12">
      <c r="C39" s="131">
        <v>28</v>
      </c>
      <c r="D39" s="71"/>
      <c r="E39" s="71"/>
      <c r="F39" s="71" t="s">
        <v>3193</v>
      </c>
      <c r="G39" s="71"/>
      <c r="H39" s="71" t="s">
        <v>57</v>
      </c>
      <c r="I39" s="71"/>
      <c r="J39" s="133" t="s">
        <v>3194</v>
      </c>
      <c r="K39" s="71" t="s">
        <v>3195</v>
      </c>
      <c r="L39" s="71"/>
    </row>
    <row r="40" spans="3:12">
      <c r="C40" s="131">
        <v>29</v>
      </c>
      <c r="D40" s="71"/>
      <c r="E40" s="71"/>
      <c r="F40" s="71" t="s">
        <v>3196</v>
      </c>
      <c r="G40" s="71"/>
      <c r="H40" s="71" t="s">
        <v>118</v>
      </c>
      <c r="I40" s="71"/>
      <c r="J40" s="133" t="s">
        <v>3197</v>
      </c>
      <c r="K40" s="71" t="s">
        <v>3198</v>
      </c>
      <c r="L40" s="71"/>
    </row>
    <row r="41" spans="3:12">
      <c r="C41" s="131">
        <v>30</v>
      </c>
      <c r="D41" s="71"/>
      <c r="E41" s="71"/>
      <c r="F41" s="71" t="s">
        <v>3199</v>
      </c>
      <c r="G41" s="71"/>
      <c r="H41" s="71" t="s">
        <v>64</v>
      </c>
      <c r="I41" s="71"/>
      <c r="J41" s="133" t="s">
        <v>3200</v>
      </c>
      <c r="K41" s="71" t="s">
        <v>3201</v>
      </c>
      <c r="L41" s="71"/>
    </row>
    <row r="42" spans="3:12">
      <c r="C42" s="131">
        <v>31</v>
      </c>
      <c r="D42" s="71"/>
      <c r="E42" s="71"/>
      <c r="F42" s="71" t="s">
        <v>3202</v>
      </c>
      <c r="G42" s="71"/>
      <c r="H42" s="71" t="s">
        <v>71</v>
      </c>
      <c r="I42" s="71"/>
      <c r="J42" s="133" t="s">
        <v>3203</v>
      </c>
      <c r="K42" s="71" t="s">
        <v>3204</v>
      </c>
      <c r="L42" s="71"/>
    </row>
    <row r="43" spans="3:12">
      <c r="C43" s="131">
        <v>32</v>
      </c>
      <c r="D43" s="71"/>
      <c r="E43" s="71"/>
      <c r="F43" s="71" t="s">
        <v>3205</v>
      </c>
      <c r="G43" s="71"/>
      <c r="H43" s="71" t="s">
        <v>43</v>
      </c>
      <c r="I43" s="71"/>
      <c r="J43" s="133" t="s">
        <v>3206</v>
      </c>
      <c r="K43" s="71" t="s">
        <v>3207</v>
      </c>
      <c r="L43" s="71"/>
    </row>
    <row r="44" spans="3:12">
      <c r="C44" s="131">
        <v>33</v>
      </c>
      <c r="D44" s="71"/>
      <c r="E44" s="71"/>
      <c r="F44" s="71" t="s">
        <v>3208</v>
      </c>
      <c r="G44" s="71"/>
      <c r="H44" s="71" t="s">
        <v>31</v>
      </c>
      <c r="I44" s="71"/>
      <c r="J44" s="133" t="s">
        <v>3209</v>
      </c>
      <c r="K44" s="71" t="s">
        <v>3210</v>
      </c>
      <c r="L44" s="71"/>
    </row>
    <row r="45" spans="3:12">
      <c r="C45" s="131">
        <v>34</v>
      </c>
      <c r="D45" s="71"/>
      <c r="E45" s="71"/>
      <c r="F45" s="71" t="s">
        <v>3211</v>
      </c>
      <c r="G45" s="71"/>
      <c r="H45" s="71" t="s">
        <v>144</v>
      </c>
      <c r="I45" s="71"/>
      <c r="J45" s="133" t="s">
        <v>3212</v>
      </c>
      <c r="K45" s="71" t="s">
        <v>3213</v>
      </c>
      <c r="L45" s="71"/>
    </row>
    <row r="46" spans="3:12">
      <c r="C46" s="131">
        <v>35</v>
      </c>
      <c r="D46" s="71"/>
      <c r="E46" s="71"/>
      <c r="F46" s="71" t="s">
        <v>3214</v>
      </c>
      <c r="G46" s="71"/>
      <c r="H46" s="71" t="s">
        <v>144</v>
      </c>
      <c r="I46" s="71"/>
      <c r="J46" s="133" t="s">
        <v>3215</v>
      </c>
      <c r="K46" s="71" t="s">
        <v>3216</v>
      </c>
      <c r="L46" s="71"/>
    </row>
    <row r="47" spans="3:12">
      <c r="C47" s="131">
        <v>36</v>
      </c>
      <c r="D47" s="71"/>
      <c r="E47" s="71"/>
      <c r="F47" s="71" t="s">
        <v>3217</v>
      </c>
      <c r="G47" s="71"/>
      <c r="H47" s="71" t="s">
        <v>144</v>
      </c>
      <c r="I47" s="71"/>
      <c r="J47" s="133" t="s">
        <v>3218</v>
      </c>
      <c r="K47" s="71" t="s">
        <v>3219</v>
      </c>
      <c r="L47" s="71"/>
    </row>
    <row r="48" spans="3:12">
      <c r="C48" s="131">
        <v>37</v>
      </c>
      <c r="D48" s="71"/>
      <c r="E48" s="71"/>
      <c r="F48" s="71" t="s">
        <v>3220</v>
      </c>
      <c r="G48" s="71"/>
      <c r="H48" s="71" t="s">
        <v>99</v>
      </c>
      <c r="I48" s="71"/>
      <c r="J48" s="133" t="s">
        <v>3221</v>
      </c>
      <c r="K48" s="71" t="s">
        <v>3222</v>
      </c>
      <c r="L48" s="71"/>
    </row>
    <row r="49" spans="3:12">
      <c r="C49" s="131">
        <v>38</v>
      </c>
      <c r="D49" s="71"/>
      <c r="E49" s="71"/>
      <c r="F49" s="71" t="s">
        <v>3223</v>
      </c>
      <c r="G49" s="71"/>
      <c r="H49" s="71" t="s">
        <v>16</v>
      </c>
      <c r="I49" s="71"/>
      <c r="J49" s="133" t="s">
        <v>3224</v>
      </c>
      <c r="K49" s="71" t="s">
        <v>3225</v>
      </c>
      <c r="L49" s="71"/>
    </row>
    <row r="50" spans="3:12">
      <c r="C50" s="131">
        <v>39</v>
      </c>
      <c r="D50" s="71"/>
      <c r="E50" s="71"/>
      <c r="F50" s="71" t="s">
        <v>3226</v>
      </c>
      <c r="G50" s="71"/>
      <c r="H50" s="71" t="s">
        <v>75</v>
      </c>
      <c r="I50" s="71"/>
      <c r="J50" s="133" t="s">
        <v>3227</v>
      </c>
      <c r="K50" s="71" t="s">
        <v>3228</v>
      </c>
      <c r="L50" s="71"/>
    </row>
    <row r="51" spans="3:12">
      <c r="C51" s="131">
        <v>40</v>
      </c>
      <c r="D51" s="71"/>
      <c r="E51" s="71"/>
      <c r="F51" s="71" t="s">
        <v>3229</v>
      </c>
      <c r="G51" s="71"/>
      <c r="H51" s="71" t="s">
        <v>218</v>
      </c>
      <c r="I51" s="71"/>
      <c r="J51" s="133" t="s">
        <v>3230</v>
      </c>
      <c r="K51" s="71" t="s">
        <v>3231</v>
      </c>
      <c r="L51" s="71"/>
    </row>
    <row r="52" spans="3:12">
      <c r="C52" s="131">
        <v>41</v>
      </c>
      <c r="D52" s="71"/>
      <c r="E52" s="71"/>
      <c r="F52" s="71" t="s">
        <v>3232</v>
      </c>
      <c r="G52" s="71"/>
      <c r="H52" s="71" t="s">
        <v>144</v>
      </c>
      <c r="I52" s="71"/>
      <c r="J52" s="133" t="s">
        <v>3233</v>
      </c>
      <c r="K52" s="71" t="s">
        <v>3231</v>
      </c>
      <c r="L52" s="71"/>
    </row>
    <row r="53" spans="3:12">
      <c r="C53" s="131">
        <v>42</v>
      </c>
      <c r="D53" s="71"/>
      <c r="E53" s="71"/>
      <c r="F53" s="71" t="s">
        <v>3234</v>
      </c>
      <c r="G53" s="71"/>
      <c r="H53" s="71" t="s">
        <v>49</v>
      </c>
      <c r="I53" s="71"/>
      <c r="J53" s="133" t="s">
        <v>3235</v>
      </c>
      <c r="K53" s="71" t="s">
        <v>3231</v>
      </c>
      <c r="L53" s="71"/>
    </row>
    <row r="54" spans="3:12">
      <c r="C54" s="131">
        <v>43</v>
      </c>
      <c r="D54" s="71"/>
      <c r="E54" s="71"/>
      <c r="F54" s="71" t="s">
        <v>3236</v>
      </c>
      <c r="G54" s="71"/>
      <c r="H54" s="71" t="s">
        <v>43</v>
      </c>
      <c r="I54" s="71"/>
      <c r="J54" s="133" t="s">
        <v>3237</v>
      </c>
      <c r="K54" s="71" t="s">
        <v>3231</v>
      </c>
      <c r="L54" s="71"/>
    </row>
    <row r="55" spans="3:12">
      <c r="C55" s="131">
        <v>44</v>
      </c>
      <c r="D55" s="71"/>
      <c r="E55" s="71"/>
      <c r="F55" s="71" t="s">
        <v>3238</v>
      </c>
      <c r="G55" s="71"/>
      <c r="H55" s="71" t="s">
        <v>10</v>
      </c>
      <c r="I55" s="71"/>
      <c r="J55" s="133" t="s">
        <v>3239</v>
      </c>
      <c r="K55" s="71" t="s">
        <v>3240</v>
      </c>
      <c r="L55" s="71"/>
    </row>
    <row r="56" spans="3:12">
      <c r="C56" s="131">
        <v>45</v>
      </c>
      <c r="D56" s="71"/>
      <c r="E56" s="71"/>
      <c r="F56" s="71" t="s">
        <v>3241</v>
      </c>
      <c r="G56" s="71"/>
      <c r="H56" s="71" t="s">
        <v>16</v>
      </c>
      <c r="I56" s="71"/>
      <c r="J56" s="133" t="s">
        <v>3242</v>
      </c>
      <c r="K56" s="71" t="s">
        <v>3243</v>
      </c>
      <c r="L56" s="71"/>
    </row>
    <row r="57" spans="3:12">
      <c r="C57" s="131">
        <v>46</v>
      </c>
      <c r="D57" s="71"/>
      <c r="E57" s="71"/>
      <c r="F57" s="71" t="s">
        <v>3244</v>
      </c>
      <c r="G57" s="71"/>
      <c r="H57" s="71" t="s">
        <v>45</v>
      </c>
      <c r="I57" s="71"/>
      <c r="J57" s="133" t="s">
        <v>3245</v>
      </c>
      <c r="K57" s="71" t="s">
        <v>3246</v>
      </c>
      <c r="L57" s="71"/>
    </row>
    <row r="58" spans="3:12">
      <c r="C58" s="131">
        <v>47</v>
      </c>
      <c r="D58" s="71"/>
      <c r="E58" s="71"/>
      <c r="F58" s="71" t="s">
        <v>3247</v>
      </c>
      <c r="G58" s="71"/>
      <c r="H58" s="71" t="s">
        <v>19</v>
      </c>
      <c r="I58" s="71"/>
      <c r="J58" s="133" t="s">
        <v>3248</v>
      </c>
      <c r="K58" s="71" t="s">
        <v>3249</v>
      </c>
      <c r="L58" s="71"/>
    </row>
    <row r="59" spans="3:12">
      <c r="C59" s="131">
        <v>48</v>
      </c>
      <c r="D59" s="71"/>
      <c r="E59" s="71"/>
      <c r="F59" s="71" t="s">
        <v>3250</v>
      </c>
      <c r="G59" s="71"/>
      <c r="H59" s="71" t="s">
        <v>1794</v>
      </c>
      <c r="I59" s="71"/>
      <c r="J59" s="133" t="s">
        <v>3251</v>
      </c>
      <c r="K59" s="71" t="s">
        <v>3252</v>
      </c>
      <c r="L59" s="71"/>
    </row>
    <row r="60" spans="3:12">
      <c r="C60" s="131">
        <v>49</v>
      </c>
      <c r="D60" s="71"/>
      <c r="E60" s="71"/>
      <c r="F60" s="71" t="s">
        <v>3253</v>
      </c>
      <c r="G60" s="71"/>
      <c r="H60" s="71" t="s">
        <v>57</v>
      </c>
      <c r="I60" s="71"/>
      <c r="J60" s="133" t="s">
        <v>3254</v>
      </c>
      <c r="K60" s="71" t="s">
        <v>3255</v>
      </c>
      <c r="L60" s="71"/>
    </row>
    <row r="61" spans="3:12">
      <c r="C61" s="131">
        <v>50</v>
      </c>
      <c r="D61" s="71"/>
      <c r="E61" s="71"/>
      <c r="F61" s="71" t="s">
        <v>3256</v>
      </c>
      <c r="G61" s="71"/>
      <c r="H61" s="71" t="s">
        <v>162</v>
      </c>
      <c r="I61" s="71"/>
      <c r="J61" s="133" t="s">
        <v>3257</v>
      </c>
      <c r="K61" s="71" t="s">
        <v>3255</v>
      </c>
      <c r="L61" s="71"/>
    </row>
    <row r="62" spans="3:12">
      <c r="C62" s="131">
        <v>51</v>
      </c>
      <c r="D62" s="71"/>
      <c r="E62" s="71"/>
      <c r="F62" s="71" t="s">
        <v>3258</v>
      </c>
      <c r="G62" s="71"/>
      <c r="H62" s="71" t="s">
        <v>218</v>
      </c>
      <c r="I62" s="71"/>
      <c r="J62" s="133" t="s">
        <v>3259</v>
      </c>
      <c r="K62" s="71" t="s">
        <v>3255</v>
      </c>
      <c r="L62" s="71"/>
    </row>
    <row r="63" spans="3:12">
      <c r="C63" s="131">
        <v>52</v>
      </c>
      <c r="D63" s="71"/>
      <c r="E63" s="71"/>
      <c r="F63" s="71" t="s">
        <v>3260</v>
      </c>
      <c r="G63" s="71"/>
      <c r="H63" s="71" t="s">
        <v>75</v>
      </c>
      <c r="I63" s="71"/>
      <c r="J63" s="133" t="s">
        <v>3261</v>
      </c>
      <c r="K63" s="71" t="s">
        <v>3262</v>
      </c>
      <c r="L63" s="71"/>
    </row>
    <row r="64" spans="3:12">
      <c r="C64" s="131">
        <v>53</v>
      </c>
      <c r="D64" s="71"/>
      <c r="E64" s="71"/>
      <c r="F64" s="71" t="s">
        <v>3263</v>
      </c>
      <c r="G64" s="71"/>
      <c r="H64" s="71" t="s">
        <v>64</v>
      </c>
      <c r="I64" s="71"/>
      <c r="J64" s="133" t="s">
        <v>3264</v>
      </c>
      <c r="K64" s="71" t="s">
        <v>3262</v>
      </c>
      <c r="L64" s="71"/>
    </row>
    <row r="65" spans="3:12">
      <c r="C65" s="131">
        <v>54</v>
      </c>
      <c r="D65" s="71"/>
      <c r="E65" s="71"/>
      <c r="F65" s="71" t="s">
        <v>3265</v>
      </c>
      <c r="G65" s="71"/>
      <c r="H65" s="71" t="s">
        <v>144</v>
      </c>
      <c r="I65" s="71"/>
      <c r="J65" s="133" t="s">
        <v>3266</v>
      </c>
      <c r="K65" s="71" t="s">
        <v>3267</v>
      </c>
      <c r="L65" s="71"/>
    </row>
    <row r="66" spans="3:12">
      <c r="C66" s="131">
        <v>55</v>
      </c>
      <c r="D66" s="71"/>
      <c r="E66" s="71"/>
      <c r="F66" s="71" t="s">
        <v>3268</v>
      </c>
      <c r="G66" s="71"/>
      <c r="H66" s="71" t="s">
        <v>10</v>
      </c>
      <c r="I66" s="71"/>
      <c r="J66" s="133" t="s">
        <v>3269</v>
      </c>
      <c r="K66" s="71" t="s">
        <v>3267</v>
      </c>
      <c r="L66" s="71"/>
    </row>
    <row r="67" spans="3:12">
      <c r="C67" s="131">
        <v>56</v>
      </c>
      <c r="D67" s="71"/>
      <c r="E67" s="71"/>
      <c r="F67" s="71" t="s">
        <v>3270</v>
      </c>
      <c r="G67" s="71"/>
      <c r="H67" s="71" t="s">
        <v>96</v>
      </c>
      <c r="I67" s="71"/>
      <c r="J67" s="133" t="s">
        <v>3271</v>
      </c>
      <c r="K67" s="71" t="s">
        <v>3272</v>
      </c>
      <c r="L67" s="71"/>
    </row>
    <row r="68" spans="3:12">
      <c r="C68" s="131">
        <v>57</v>
      </c>
      <c r="D68" s="71"/>
      <c r="E68" s="71"/>
      <c r="F68" s="71" t="s">
        <v>3273</v>
      </c>
      <c r="G68" s="71"/>
      <c r="H68" s="71" t="s">
        <v>96</v>
      </c>
      <c r="I68" s="71"/>
      <c r="J68" s="133" t="s">
        <v>3274</v>
      </c>
      <c r="K68" s="71" t="s">
        <v>3275</v>
      </c>
      <c r="L68" s="71"/>
    </row>
    <row r="69" spans="3:12">
      <c r="C69" s="131">
        <v>58</v>
      </c>
      <c r="D69" s="71"/>
      <c r="E69" s="71"/>
      <c r="F69" s="71" t="s">
        <v>3276</v>
      </c>
      <c r="G69" s="71"/>
      <c r="H69" s="71" t="s">
        <v>96</v>
      </c>
      <c r="I69" s="71"/>
      <c r="J69" s="133" t="s">
        <v>3277</v>
      </c>
      <c r="K69" s="71" t="s">
        <v>3278</v>
      </c>
      <c r="L69" s="71"/>
    </row>
    <row r="70" spans="3:12">
      <c r="C70" s="131">
        <v>59</v>
      </c>
      <c r="D70" s="71"/>
      <c r="E70" s="71"/>
      <c r="F70" s="71" t="s">
        <v>3279</v>
      </c>
      <c r="G70" s="71"/>
      <c r="H70" s="71" t="s">
        <v>29</v>
      </c>
      <c r="I70" s="71"/>
      <c r="J70" s="133" t="s">
        <v>3280</v>
      </c>
      <c r="K70" s="71" t="s">
        <v>3281</v>
      </c>
      <c r="L70" s="71"/>
    </row>
    <row r="71" spans="3:12">
      <c r="C71" s="131">
        <v>60</v>
      </c>
      <c r="D71" s="71"/>
      <c r="E71" s="71"/>
      <c r="F71" s="71" t="s">
        <v>3282</v>
      </c>
      <c r="G71" s="71"/>
      <c r="H71" s="71" t="s">
        <v>29</v>
      </c>
      <c r="I71" s="71"/>
      <c r="J71" s="133" t="s">
        <v>3283</v>
      </c>
      <c r="K71" s="71" t="s">
        <v>3281</v>
      </c>
      <c r="L71" s="71"/>
    </row>
    <row r="72" spans="3:12">
      <c r="C72" s="131">
        <v>61</v>
      </c>
      <c r="D72" s="71"/>
      <c r="E72" s="71"/>
      <c r="F72" s="71" t="s">
        <v>3284</v>
      </c>
      <c r="G72" s="71"/>
      <c r="H72" s="71" t="s">
        <v>71</v>
      </c>
      <c r="I72" s="71"/>
      <c r="J72" s="133"/>
      <c r="K72" s="71" t="s">
        <v>3281</v>
      </c>
      <c r="L72" s="71"/>
    </row>
    <row r="73" spans="3:12">
      <c r="C73" s="131">
        <v>62</v>
      </c>
      <c r="D73" s="71"/>
      <c r="E73" s="71"/>
      <c r="F73" s="71" t="s">
        <v>3285</v>
      </c>
      <c r="G73" s="71"/>
      <c r="H73" s="71" t="s">
        <v>96</v>
      </c>
      <c r="I73" s="71"/>
      <c r="J73" s="133" t="s">
        <v>3286</v>
      </c>
      <c r="K73" s="71" t="s">
        <v>3287</v>
      </c>
      <c r="L73" s="71"/>
    </row>
    <row r="74" spans="3:12">
      <c r="C74" s="131">
        <v>63</v>
      </c>
      <c r="D74" s="71"/>
      <c r="E74" s="71"/>
      <c r="F74" s="71" t="s">
        <v>3288</v>
      </c>
      <c r="G74" s="71"/>
      <c r="H74" s="71" t="s">
        <v>21</v>
      </c>
      <c r="I74" s="71"/>
      <c r="J74" s="133" t="s">
        <v>3289</v>
      </c>
      <c r="K74" s="71" t="s">
        <v>3290</v>
      </c>
      <c r="L74" s="71"/>
    </row>
    <row r="75" spans="3:12">
      <c r="C75" s="131">
        <v>64</v>
      </c>
      <c r="D75" s="71"/>
      <c r="E75" s="71"/>
      <c r="F75" s="71" t="s">
        <v>3291</v>
      </c>
      <c r="G75" s="71"/>
      <c r="H75" s="71" t="s">
        <v>64</v>
      </c>
      <c r="I75" s="71"/>
      <c r="J75" s="133" t="s">
        <v>3292</v>
      </c>
      <c r="K75" s="71" t="s">
        <v>3293</v>
      </c>
      <c r="L75" s="71"/>
    </row>
    <row r="76" spans="3:12">
      <c r="C76" s="131">
        <v>65</v>
      </c>
      <c r="D76" s="71"/>
      <c r="E76" s="71"/>
      <c r="F76" s="71" t="s">
        <v>3294</v>
      </c>
      <c r="G76" s="71"/>
      <c r="H76" s="71" t="s">
        <v>29</v>
      </c>
      <c r="I76" s="71"/>
      <c r="J76" s="133" t="s">
        <v>3295</v>
      </c>
      <c r="K76" s="71" t="s">
        <v>3296</v>
      </c>
      <c r="L76" s="71"/>
    </row>
    <row r="77" spans="3:12">
      <c r="C77" s="131">
        <v>66</v>
      </c>
      <c r="D77" s="71"/>
      <c r="E77" s="71"/>
      <c r="F77" s="71" t="s">
        <v>3297</v>
      </c>
      <c r="G77" s="71"/>
      <c r="H77" s="71" t="s">
        <v>53</v>
      </c>
      <c r="I77" s="71"/>
      <c r="J77" s="133" t="s">
        <v>3298</v>
      </c>
      <c r="K77" s="71" t="s">
        <v>3299</v>
      </c>
      <c r="L77" s="71"/>
    </row>
    <row r="78" spans="3:12">
      <c r="C78" s="131">
        <v>67</v>
      </c>
      <c r="D78" s="71"/>
      <c r="E78" s="71"/>
      <c r="F78" s="71" t="s">
        <v>3300</v>
      </c>
      <c r="G78" s="71"/>
      <c r="H78" s="71" t="s">
        <v>27</v>
      </c>
      <c r="I78" s="71"/>
      <c r="J78" s="133" t="s">
        <v>3301</v>
      </c>
      <c r="K78" s="71" t="s">
        <v>3302</v>
      </c>
      <c r="L78" s="71"/>
    </row>
    <row r="79" spans="3:12">
      <c r="C79" s="131">
        <v>68</v>
      </c>
      <c r="D79" s="71"/>
      <c r="E79" s="71"/>
      <c r="F79" s="71" t="s">
        <v>3303</v>
      </c>
      <c r="G79" s="71"/>
      <c r="H79" s="71" t="s">
        <v>113</v>
      </c>
      <c r="I79" s="71"/>
      <c r="J79" s="133" t="s">
        <v>3304</v>
      </c>
      <c r="K79" s="71" t="s">
        <v>3302</v>
      </c>
      <c r="L79" s="71"/>
    </row>
    <row r="80" spans="3:12">
      <c r="C80" s="131">
        <v>69</v>
      </c>
      <c r="D80" s="71"/>
      <c r="E80" s="71"/>
      <c r="F80" s="71" t="s">
        <v>3305</v>
      </c>
      <c r="G80" s="71"/>
      <c r="H80" s="71" t="s">
        <v>43</v>
      </c>
      <c r="I80" s="71"/>
      <c r="J80" s="133" t="s">
        <v>3306</v>
      </c>
      <c r="K80" s="71" t="s">
        <v>3307</v>
      </c>
      <c r="L80" s="71"/>
    </row>
    <row r="81" spans="3:12">
      <c r="C81" s="131">
        <v>70</v>
      </c>
      <c r="D81" s="71"/>
      <c r="E81" s="71"/>
      <c r="F81" s="71" t="s">
        <v>3308</v>
      </c>
      <c r="G81" s="71"/>
      <c r="H81" s="71" t="s">
        <v>43</v>
      </c>
      <c r="I81" s="71"/>
      <c r="J81" s="133" t="s">
        <v>3309</v>
      </c>
      <c r="K81" s="71" t="s">
        <v>3310</v>
      </c>
      <c r="L81" s="71"/>
    </row>
    <row r="82" spans="3:12">
      <c r="C82" s="131">
        <v>71</v>
      </c>
      <c r="D82" s="71"/>
      <c r="E82" s="71"/>
      <c r="F82" s="71" t="s">
        <v>3311</v>
      </c>
      <c r="G82" s="71"/>
      <c r="H82" s="71" t="s">
        <v>43</v>
      </c>
      <c r="I82" s="71"/>
      <c r="J82" s="133" t="s">
        <v>3312</v>
      </c>
      <c r="K82" s="71" t="s">
        <v>3313</v>
      </c>
      <c r="L82" s="71"/>
    </row>
    <row r="83" spans="3:12">
      <c r="C83" s="131">
        <v>72</v>
      </c>
      <c r="D83" s="71"/>
      <c r="E83" s="71"/>
      <c r="F83" s="71" t="s">
        <v>3314</v>
      </c>
      <c r="G83" s="71"/>
      <c r="H83" s="71" t="s">
        <v>57</v>
      </c>
      <c r="I83" s="71"/>
      <c r="J83" s="133" t="s">
        <v>3315</v>
      </c>
      <c r="K83" s="71" t="s">
        <v>3313</v>
      </c>
      <c r="L83" s="71"/>
    </row>
    <row r="84" spans="3:12">
      <c r="C84" s="131">
        <v>73</v>
      </c>
      <c r="D84" s="71"/>
      <c r="E84" s="71"/>
      <c r="F84" s="71" t="s">
        <v>3316</v>
      </c>
      <c r="G84" s="71"/>
      <c r="H84" s="71" t="s">
        <v>25</v>
      </c>
      <c r="I84" s="71"/>
      <c r="J84" s="133" t="s">
        <v>3317</v>
      </c>
      <c r="K84" s="71" t="s">
        <v>3318</v>
      </c>
      <c r="L84" s="71"/>
    </row>
    <row r="85" spans="3:12">
      <c r="C85" s="131">
        <v>74</v>
      </c>
      <c r="D85" s="71"/>
      <c r="E85" s="71"/>
      <c r="F85" s="71" t="s">
        <v>3319</v>
      </c>
      <c r="G85" s="71"/>
      <c r="H85" s="71" t="s">
        <v>38</v>
      </c>
      <c r="I85" s="71"/>
      <c r="J85" s="133" t="s">
        <v>3320</v>
      </c>
      <c r="K85" s="71" t="s">
        <v>3321</v>
      </c>
      <c r="L85" s="71"/>
    </row>
    <row r="86" spans="3:12">
      <c r="C86" s="131">
        <v>75</v>
      </c>
      <c r="D86" s="71"/>
      <c r="E86" s="71"/>
      <c r="F86" s="71" t="s">
        <v>3322</v>
      </c>
      <c r="G86" s="71"/>
      <c r="H86" s="71" t="s">
        <v>10</v>
      </c>
      <c r="I86" s="71"/>
      <c r="J86" s="133" t="s">
        <v>3323</v>
      </c>
      <c r="K86" s="71" t="s">
        <v>3321</v>
      </c>
      <c r="L86" s="71"/>
    </row>
    <row r="87" spans="3:12">
      <c r="C87" s="131">
        <v>76</v>
      </c>
      <c r="D87" s="71"/>
      <c r="E87" s="71"/>
      <c r="F87" s="71" t="s">
        <v>3324</v>
      </c>
      <c r="G87" s="71"/>
      <c r="H87" s="71" t="s">
        <v>49</v>
      </c>
      <c r="I87" s="71"/>
      <c r="J87" s="133" t="s">
        <v>3325</v>
      </c>
      <c r="K87" s="71" t="s">
        <v>3326</v>
      </c>
      <c r="L87" s="71"/>
    </row>
    <row r="88" spans="3:12">
      <c r="C88" s="131">
        <v>77</v>
      </c>
      <c r="D88" s="71"/>
      <c r="E88" s="71"/>
      <c r="F88" s="71" t="s">
        <v>3327</v>
      </c>
      <c r="G88" s="71"/>
      <c r="H88" s="71" t="s">
        <v>71</v>
      </c>
      <c r="I88" s="71"/>
      <c r="J88" s="133" t="s">
        <v>3328</v>
      </c>
      <c r="K88" s="71" t="s">
        <v>3329</v>
      </c>
      <c r="L88" s="71"/>
    </row>
    <row r="89" spans="3:12">
      <c r="C89" s="131">
        <v>78</v>
      </c>
      <c r="D89" s="71"/>
      <c r="E89" s="71"/>
      <c r="F89" s="71" t="s">
        <v>3330</v>
      </c>
      <c r="G89" s="71"/>
      <c r="H89" s="71" t="s">
        <v>144</v>
      </c>
      <c r="I89" s="71"/>
      <c r="J89" s="133" t="s">
        <v>3331</v>
      </c>
      <c r="K89" s="71" t="s">
        <v>3329</v>
      </c>
      <c r="L89" s="71"/>
    </row>
    <row r="90" spans="3:12">
      <c r="C90" s="131">
        <v>79</v>
      </c>
      <c r="D90" s="71"/>
      <c r="E90" s="71"/>
      <c r="F90" s="71" t="s">
        <v>3332</v>
      </c>
      <c r="G90" s="71"/>
      <c r="H90" s="71" t="s">
        <v>10</v>
      </c>
      <c r="I90" s="71"/>
      <c r="J90" s="133" t="s">
        <v>3328</v>
      </c>
      <c r="K90" s="71" t="s">
        <v>3333</v>
      </c>
      <c r="L90" s="71"/>
    </row>
    <row r="91" spans="3:12">
      <c r="C91" s="131">
        <v>80</v>
      </c>
      <c r="D91" s="71"/>
      <c r="E91" s="71"/>
      <c r="F91" s="71" t="s">
        <v>3334</v>
      </c>
      <c r="G91" s="71"/>
      <c r="H91" s="71" t="s">
        <v>49</v>
      </c>
      <c r="I91" s="71"/>
      <c r="J91" s="133" t="s">
        <v>3325</v>
      </c>
      <c r="K91" s="71" t="s">
        <v>3335</v>
      </c>
      <c r="L91" s="71"/>
    </row>
    <row r="92" spans="3:12">
      <c r="C92" s="131">
        <v>81</v>
      </c>
      <c r="D92" s="71"/>
      <c r="E92" s="71"/>
      <c r="F92" s="71" t="s">
        <v>3336</v>
      </c>
      <c r="G92" s="71"/>
      <c r="H92" s="71" t="s">
        <v>162</v>
      </c>
      <c r="I92" s="71"/>
      <c r="J92" s="133" t="s">
        <v>3337</v>
      </c>
      <c r="K92" s="71" t="s">
        <v>3338</v>
      </c>
      <c r="L92" s="71"/>
    </row>
    <row r="93" spans="3:12">
      <c r="C93" s="131">
        <v>82</v>
      </c>
      <c r="D93" s="71"/>
      <c r="E93" s="71"/>
      <c r="F93" s="71" t="s">
        <v>3339</v>
      </c>
      <c r="G93" s="71"/>
      <c r="H93" s="71" t="s">
        <v>21</v>
      </c>
      <c r="I93" s="71"/>
      <c r="J93" s="133" t="s">
        <v>3340</v>
      </c>
      <c r="K93" s="71" t="s">
        <v>3341</v>
      </c>
      <c r="L93" s="71"/>
    </row>
    <row r="94" spans="3:12">
      <c r="C94" s="131">
        <v>83</v>
      </c>
      <c r="D94" s="71"/>
      <c r="E94" s="71"/>
      <c r="F94" s="71" t="s">
        <v>3342</v>
      </c>
      <c r="G94" s="71"/>
      <c r="H94" s="71" t="s">
        <v>10</v>
      </c>
      <c r="I94" s="71"/>
      <c r="J94" s="133" t="s">
        <v>3343</v>
      </c>
      <c r="K94" s="71" t="s">
        <v>3344</v>
      </c>
      <c r="L94" s="71"/>
    </row>
    <row r="95" spans="3:12">
      <c r="C95" s="131">
        <v>84</v>
      </c>
      <c r="D95" s="71"/>
      <c r="E95" s="71"/>
      <c r="F95" s="71" t="s">
        <v>3345</v>
      </c>
      <c r="G95" s="71"/>
      <c r="H95" s="71" t="s">
        <v>144</v>
      </c>
      <c r="I95" s="71"/>
      <c r="J95" s="133" t="s">
        <v>3346</v>
      </c>
      <c r="K95" s="71" t="s">
        <v>3347</v>
      </c>
      <c r="L95" s="71"/>
    </row>
    <row r="96" spans="3:12">
      <c r="C96" s="131">
        <v>85</v>
      </c>
      <c r="D96" s="71"/>
      <c r="E96" s="71"/>
      <c r="F96" s="71" t="s">
        <v>3348</v>
      </c>
      <c r="G96" s="71"/>
      <c r="H96" s="71" t="s">
        <v>31</v>
      </c>
      <c r="I96" s="71"/>
      <c r="J96" s="133" t="s">
        <v>3349</v>
      </c>
      <c r="K96" s="71" t="s">
        <v>3350</v>
      </c>
      <c r="L96" s="71"/>
    </row>
    <row r="97" spans="3:12">
      <c r="C97" s="131">
        <v>86</v>
      </c>
      <c r="D97" s="71"/>
      <c r="E97" s="71"/>
      <c r="F97" s="71" t="s">
        <v>3351</v>
      </c>
      <c r="G97" s="71"/>
      <c r="H97" s="71" t="s">
        <v>71</v>
      </c>
      <c r="I97" s="71"/>
      <c r="J97" s="133" t="s">
        <v>3352</v>
      </c>
      <c r="K97" s="71" t="s">
        <v>3353</v>
      </c>
      <c r="L97" s="71"/>
    </row>
    <row r="98" spans="3:12">
      <c r="C98" s="131">
        <v>87</v>
      </c>
      <c r="D98" s="71"/>
      <c r="E98" s="71"/>
      <c r="F98" s="71" t="s">
        <v>3354</v>
      </c>
      <c r="G98" s="71"/>
      <c r="H98" s="71" t="s">
        <v>75</v>
      </c>
      <c r="I98" s="71"/>
      <c r="J98" s="133" t="s">
        <v>3355</v>
      </c>
      <c r="K98" s="71" t="s">
        <v>3356</v>
      </c>
      <c r="L98" s="71"/>
    </row>
    <row r="99" spans="3:12">
      <c r="C99" s="131">
        <v>88</v>
      </c>
      <c r="D99" s="71"/>
      <c r="E99" s="71"/>
      <c r="F99" s="71" t="s">
        <v>3357</v>
      </c>
      <c r="G99" s="71"/>
      <c r="H99" s="71" t="s">
        <v>43</v>
      </c>
      <c r="I99" s="71"/>
      <c r="J99" s="133" t="s">
        <v>3358</v>
      </c>
      <c r="K99" s="71" t="s">
        <v>3359</v>
      </c>
      <c r="L99" s="71"/>
    </row>
    <row r="100" spans="3:12">
      <c r="C100" s="131">
        <v>89</v>
      </c>
      <c r="D100" s="71"/>
      <c r="E100" s="71"/>
      <c r="F100" s="71" t="s">
        <v>3360</v>
      </c>
      <c r="G100" s="71"/>
      <c r="H100" s="71" t="s">
        <v>43</v>
      </c>
      <c r="I100" s="71"/>
      <c r="J100" s="133" t="s">
        <v>3361</v>
      </c>
      <c r="K100" s="71" t="s">
        <v>3362</v>
      </c>
      <c r="L100" s="71"/>
    </row>
    <row r="101" spans="3:12">
      <c r="C101" s="131">
        <v>90</v>
      </c>
      <c r="D101" s="71"/>
      <c r="E101" s="71"/>
      <c r="F101" s="71" t="s">
        <v>3139</v>
      </c>
      <c r="G101" s="71"/>
      <c r="H101" s="71" t="s">
        <v>38</v>
      </c>
      <c r="I101" s="71"/>
      <c r="J101" s="133" t="s">
        <v>3363</v>
      </c>
      <c r="K101" s="71" t="s">
        <v>3364</v>
      </c>
      <c r="L101" s="71"/>
    </row>
    <row r="102" spans="3:12">
      <c r="C102" s="131">
        <v>91</v>
      </c>
      <c r="D102" s="71"/>
      <c r="E102" s="71"/>
      <c r="F102" s="71" t="s">
        <v>3365</v>
      </c>
      <c r="G102" s="71"/>
      <c r="H102" s="71" t="s">
        <v>21</v>
      </c>
      <c r="I102" s="71"/>
      <c r="J102" s="133" t="s">
        <v>3366</v>
      </c>
      <c r="K102" s="71" t="s">
        <v>3364</v>
      </c>
      <c r="L102" s="71"/>
    </row>
    <row r="103" spans="3:12">
      <c r="C103" s="131">
        <v>92</v>
      </c>
      <c r="D103" s="71"/>
      <c r="E103" s="71"/>
      <c r="F103" s="71" t="s">
        <v>3367</v>
      </c>
      <c r="G103" s="71"/>
      <c r="H103" s="71" t="s">
        <v>31</v>
      </c>
      <c r="I103" s="71"/>
      <c r="J103" s="133" t="s">
        <v>3368</v>
      </c>
      <c r="K103" s="71" t="s">
        <v>3369</v>
      </c>
      <c r="L103" s="71"/>
    </row>
    <row r="104" spans="3:12">
      <c r="C104" s="131">
        <v>93</v>
      </c>
      <c r="D104" s="71"/>
      <c r="E104" s="71"/>
      <c r="F104" s="71" t="s">
        <v>3370</v>
      </c>
      <c r="G104" s="71"/>
      <c r="H104" s="71" t="s">
        <v>16</v>
      </c>
      <c r="I104" s="71"/>
      <c r="J104" s="133" t="s">
        <v>3371</v>
      </c>
      <c r="K104" s="71" t="s">
        <v>3372</v>
      </c>
      <c r="L104" s="71"/>
    </row>
    <row r="105" spans="3:12">
      <c r="C105" s="131">
        <v>94</v>
      </c>
      <c r="D105" s="71"/>
      <c r="E105" s="71"/>
      <c r="F105" s="71" t="s">
        <v>3373</v>
      </c>
      <c r="G105" s="71"/>
      <c r="H105" s="71" t="s">
        <v>53</v>
      </c>
      <c r="I105" s="71"/>
      <c r="J105" s="133" t="s">
        <v>3374</v>
      </c>
      <c r="K105" s="71" t="s">
        <v>3375</v>
      </c>
      <c r="L105" s="71"/>
    </row>
    <row r="106" spans="3:12">
      <c r="C106" s="131">
        <v>95</v>
      </c>
      <c r="D106" s="71"/>
      <c r="E106" s="71"/>
      <c r="F106" s="71" t="s">
        <v>3376</v>
      </c>
      <c r="G106" s="71"/>
      <c r="H106" s="71" t="s">
        <v>38</v>
      </c>
      <c r="I106" s="71"/>
      <c r="J106" s="133" t="s">
        <v>3377</v>
      </c>
      <c r="K106" s="71" t="s">
        <v>3375</v>
      </c>
      <c r="L106" s="71"/>
    </row>
    <row r="107" spans="3:12">
      <c r="C107" s="131">
        <v>96</v>
      </c>
      <c r="D107" s="71"/>
      <c r="E107" s="71"/>
      <c r="F107" s="71" t="s">
        <v>3378</v>
      </c>
      <c r="G107" s="71"/>
      <c r="H107" s="71" t="s">
        <v>27</v>
      </c>
      <c r="I107" s="71"/>
      <c r="J107" s="133" t="s">
        <v>3379</v>
      </c>
      <c r="K107" s="71" t="s">
        <v>3380</v>
      </c>
      <c r="L107" s="71"/>
    </row>
    <row r="108" spans="3:12">
      <c r="C108" s="131">
        <v>97</v>
      </c>
      <c r="D108" s="71"/>
      <c r="E108" s="71"/>
      <c r="F108" s="71" t="s">
        <v>3381</v>
      </c>
      <c r="G108" s="71"/>
      <c r="H108" s="71" t="s">
        <v>45</v>
      </c>
      <c r="I108" s="71"/>
      <c r="J108" s="133" t="s">
        <v>3382</v>
      </c>
      <c r="K108" s="71" t="s">
        <v>3380</v>
      </c>
      <c r="L108" s="71"/>
    </row>
    <row r="109" spans="3:12">
      <c r="C109" s="131">
        <v>98</v>
      </c>
      <c r="D109" s="71"/>
      <c r="E109" s="71"/>
      <c r="F109" s="71" t="s">
        <v>3383</v>
      </c>
      <c r="G109" s="71"/>
      <c r="H109" s="71" t="s">
        <v>27</v>
      </c>
      <c r="I109" s="71"/>
      <c r="J109" s="133" t="s">
        <v>3384</v>
      </c>
      <c r="K109" s="71" t="s">
        <v>3385</v>
      </c>
      <c r="L109" s="71"/>
    </row>
    <row r="110" spans="3:12">
      <c r="C110" s="131">
        <v>99</v>
      </c>
      <c r="D110" s="71"/>
      <c r="E110" s="71"/>
      <c r="F110" s="71" t="s">
        <v>3386</v>
      </c>
      <c r="G110" s="71"/>
      <c r="H110" s="71" t="s">
        <v>162</v>
      </c>
      <c r="I110" s="71"/>
      <c r="J110" s="133" t="s">
        <v>3387</v>
      </c>
      <c r="K110" s="71" t="s">
        <v>3388</v>
      </c>
      <c r="L110" s="71"/>
    </row>
    <row r="111" spans="3:12">
      <c r="C111" s="131">
        <v>100</v>
      </c>
      <c r="D111" s="71"/>
      <c r="E111" s="71"/>
      <c r="F111" s="71" t="s">
        <v>3389</v>
      </c>
      <c r="G111" s="71"/>
      <c r="H111" s="71" t="s">
        <v>43</v>
      </c>
      <c r="I111" s="71"/>
      <c r="J111" s="133" t="s">
        <v>3390</v>
      </c>
      <c r="K111" s="71" t="s">
        <v>3388</v>
      </c>
      <c r="L111" s="71"/>
    </row>
    <row r="112" spans="3:12">
      <c r="C112" s="131">
        <v>101</v>
      </c>
      <c r="D112" s="71"/>
      <c r="E112" s="71"/>
      <c r="F112" s="71" t="s">
        <v>3391</v>
      </c>
      <c r="G112" s="71"/>
      <c r="H112" s="71" t="s">
        <v>45</v>
      </c>
      <c r="I112" s="71"/>
      <c r="J112" s="133" t="s">
        <v>3392</v>
      </c>
      <c r="K112" s="71" t="s">
        <v>3393</v>
      </c>
      <c r="L112" s="71"/>
    </row>
    <row r="113" spans="3:12">
      <c r="C113" s="131">
        <v>102</v>
      </c>
      <c r="D113" s="71"/>
      <c r="E113" s="71"/>
      <c r="F113" s="71" t="s">
        <v>3394</v>
      </c>
      <c r="G113" s="71"/>
      <c r="H113" s="71" t="s">
        <v>33</v>
      </c>
      <c r="I113" s="71"/>
      <c r="J113" s="133" t="s">
        <v>3395</v>
      </c>
      <c r="K113" s="71" t="s">
        <v>3396</v>
      </c>
      <c r="L113" s="71"/>
    </row>
    <row r="114" spans="3:12">
      <c r="C114" s="131">
        <v>103</v>
      </c>
      <c r="D114" s="71"/>
      <c r="E114" s="71"/>
      <c r="F114" s="71" t="s">
        <v>3397</v>
      </c>
      <c r="G114" s="71"/>
      <c r="H114" s="71" t="s">
        <v>53</v>
      </c>
      <c r="I114" s="71"/>
      <c r="J114" s="133" t="s">
        <v>3398</v>
      </c>
      <c r="K114" s="71" t="s">
        <v>3399</v>
      </c>
      <c r="L114" s="71"/>
    </row>
    <row r="115" spans="3:12">
      <c r="C115" s="131">
        <v>104</v>
      </c>
      <c r="D115" s="71"/>
      <c r="E115" s="71"/>
      <c r="F115" s="71" t="s">
        <v>3400</v>
      </c>
      <c r="G115" s="71"/>
      <c r="H115" s="71" t="s">
        <v>19</v>
      </c>
      <c r="I115" s="71"/>
      <c r="J115" s="133" t="s">
        <v>3401</v>
      </c>
      <c r="K115" s="71" t="s">
        <v>3402</v>
      </c>
      <c r="L115" s="71"/>
    </row>
    <row r="116" spans="3:12">
      <c r="C116" s="131">
        <v>105</v>
      </c>
      <c r="D116" s="71"/>
      <c r="E116" s="71"/>
      <c r="F116" s="71" t="s">
        <v>3403</v>
      </c>
      <c r="G116" s="71"/>
      <c r="H116" s="71" t="s">
        <v>96</v>
      </c>
      <c r="I116" s="71"/>
      <c r="J116" s="133" t="s">
        <v>3404</v>
      </c>
      <c r="K116" s="71" t="s">
        <v>3405</v>
      </c>
      <c r="L116" s="71"/>
    </row>
    <row r="117" spans="3:12">
      <c r="C117" s="131">
        <v>106</v>
      </c>
      <c r="D117" s="71"/>
      <c r="E117" s="71"/>
      <c r="F117" s="71" t="s">
        <v>3406</v>
      </c>
      <c r="G117" s="71"/>
      <c r="H117" s="71" t="s">
        <v>38</v>
      </c>
      <c r="I117" s="71"/>
      <c r="J117" s="133" t="s">
        <v>3407</v>
      </c>
      <c r="K117" s="71" t="s">
        <v>3408</v>
      </c>
      <c r="L117" s="71"/>
    </row>
    <row r="118" spans="3:12">
      <c r="C118" s="131">
        <v>107</v>
      </c>
      <c r="D118" s="71"/>
      <c r="E118" s="71"/>
      <c r="F118" s="71" t="s">
        <v>3409</v>
      </c>
      <c r="G118" s="71"/>
      <c r="H118" s="71" t="s">
        <v>144</v>
      </c>
      <c r="I118" s="71"/>
      <c r="J118" s="133" t="s">
        <v>3410</v>
      </c>
      <c r="K118" s="71" t="s">
        <v>3411</v>
      </c>
      <c r="L118" s="71"/>
    </row>
    <row r="119" spans="3:12">
      <c r="C119" s="131">
        <v>108</v>
      </c>
      <c r="D119" s="71"/>
      <c r="E119" s="71"/>
      <c r="F119" s="71" t="s">
        <v>3412</v>
      </c>
      <c r="G119" s="71"/>
      <c r="H119" s="71" t="s">
        <v>99</v>
      </c>
      <c r="I119" s="71"/>
      <c r="J119" s="133" t="s">
        <v>3413</v>
      </c>
      <c r="K119" s="71" t="s">
        <v>3414</v>
      </c>
      <c r="L119" s="71"/>
    </row>
    <row r="120" spans="3:12">
      <c r="C120" s="131">
        <v>109</v>
      </c>
      <c r="D120" s="71"/>
      <c r="E120" s="71"/>
      <c r="F120" s="71" t="s">
        <v>3415</v>
      </c>
      <c r="G120" s="71"/>
      <c r="H120" s="71" t="s">
        <v>71</v>
      </c>
      <c r="I120" s="71"/>
      <c r="J120" s="133" t="s">
        <v>3416</v>
      </c>
      <c r="K120" s="71" t="s">
        <v>3414</v>
      </c>
      <c r="L120" s="71"/>
    </row>
    <row r="121" spans="3:12">
      <c r="C121" s="131">
        <v>110</v>
      </c>
      <c r="D121" s="71"/>
      <c r="E121" s="71"/>
      <c r="F121" s="71" t="s">
        <v>3417</v>
      </c>
      <c r="G121" s="71"/>
      <c r="H121" s="71" t="s">
        <v>77</v>
      </c>
      <c r="I121" s="71"/>
      <c r="J121" s="133" t="s">
        <v>3418</v>
      </c>
      <c r="K121" s="71" t="s">
        <v>3419</v>
      </c>
      <c r="L121" s="71"/>
    </row>
    <row r="122" spans="3:12">
      <c r="C122" s="131">
        <v>111</v>
      </c>
      <c r="D122" s="71"/>
      <c r="E122" s="71"/>
      <c r="F122" s="71" t="s">
        <v>3420</v>
      </c>
      <c r="G122" s="71"/>
      <c r="H122" s="71" t="s">
        <v>33</v>
      </c>
      <c r="I122" s="71"/>
      <c r="J122" s="133" t="s">
        <v>3421</v>
      </c>
      <c r="K122" s="71" t="s">
        <v>3422</v>
      </c>
      <c r="L122" s="71"/>
    </row>
    <row r="123" spans="3:12">
      <c r="C123" s="131">
        <v>112</v>
      </c>
      <c r="D123" s="71"/>
      <c r="E123" s="71"/>
      <c r="F123" s="71" t="s">
        <v>3423</v>
      </c>
      <c r="G123" s="71"/>
      <c r="H123" s="71" t="s">
        <v>77</v>
      </c>
      <c r="I123" s="71"/>
      <c r="J123" s="133" t="s">
        <v>3424</v>
      </c>
      <c r="K123" s="71" t="s">
        <v>3425</v>
      </c>
      <c r="L123" s="71"/>
    </row>
    <row r="124" spans="3:12">
      <c r="C124" s="131">
        <v>113</v>
      </c>
      <c r="D124" s="71"/>
      <c r="E124" s="71"/>
      <c r="F124" s="71" t="s">
        <v>3426</v>
      </c>
      <c r="G124" s="71"/>
      <c r="H124" s="71" t="s">
        <v>118</v>
      </c>
      <c r="I124" s="71"/>
      <c r="J124" s="133" t="s">
        <v>3427</v>
      </c>
      <c r="K124" s="71" t="s">
        <v>3428</v>
      </c>
      <c r="L124" s="71"/>
    </row>
    <row r="125" spans="3:12">
      <c r="C125" s="131">
        <v>114</v>
      </c>
      <c r="D125" s="71"/>
      <c r="E125" s="71"/>
      <c r="F125" s="71" t="s">
        <v>3429</v>
      </c>
      <c r="G125" s="71"/>
      <c r="H125" s="71" t="s">
        <v>218</v>
      </c>
      <c r="I125" s="71"/>
      <c r="J125" s="133" t="s">
        <v>3430</v>
      </c>
      <c r="K125" s="71" t="s">
        <v>3431</v>
      </c>
      <c r="L125" s="71"/>
    </row>
    <row r="126" spans="3:12">
      <c r="C126" s="131">
        <v>115</v>
      </c>
      <c r="D126" s="71"/>
      <c r="E126" s="71"/>
      <c r="F126" s="71" t="s">
        <v>3432</v>
      </c>
      <c r="G126" s="71"/>
      <c r="H126" s="71" t="s">
        <v>64</v>
      </c>
      <c r="I126" s="71"/>
      <c r="J126" s="133" t="s">
        <v>3433</v>
      </c>
      <c r="K126" s="71" t="s">
        <v>3434</v>
      </c>
      <c r="L126" s="71"/>
    </row>
    <row r="127" spans="3:12">
      <c r="C127" s="131">
        <v>116</v>
      </c>
      <c r="D127" s="71"/>
      <c r="E127" s="71"/>
      <c r="F127" s="71" t="s">
        <v>3435</v>
      </c>
      <c r="G127" s="71"/>
      <c r="H127" s="71" t="s">
        <v>21</v>
      </c>
      <c r="I127" s="71"/>
      <c r="J127" s="133" t="s">
        <v>3436</v>
      </c>
      <c r="K127" s="71" t="s">
        <v>3434</v>
      </c>
      <c r="L127" s="71"/>
    </row>
    <row r="128" spans="3:12">
      <c r="C128" s="131">
        <v>117</v>
      </c>
      <c r="D128" s="71"/>
      <c r="E128" s="71"/>
      <c r="F128" s="71" t="s">
        <v>3437</v>
      </c>
      <c r="G128" s="71"/>
      <c r="H128" s="71" t="s">
        <v>25</v>
      </c>
      <c r="I128" s="71"/>
      <c r="J128" s="133" t="s">
        <v>3438</v>
      </c>
      <c r="K128" s="71" t="s">
        <v>3439</v>
      </c>
      <c r="L128" s="71"/>
    </row>
    <row r="129" spans="3:12">
      <c r="C129" s="131">
        <v>118</v>
      </c>
      <c r="D129" s="71"/>
      <c r="E129" s="71"/>
      <c r="F129" s="71" t="s">
        <v>3440</v>
      </c>
      <c r="G129" s="71"/>
      <c r="H129" s="71" t="s">
        <v>21</v>
      </c>
      <c r="I129" s="71"/>
      <c r="J129" s="133" t="s">
        <v>3441</v>
      </c>
      <c r="K129" s="71" t="s">
        <v>3442</v>
      </c>
      <c r="L129" s="71"/>
    </row>
    <row r="130" spans="3:12">
      <c r="C130" s="131">
        <v>119</v>
      </c>
      <c r="D130" s="71"/>
      <c r="E130" s="71"/>
      <c r="F130" s="71" t="s">
        <v>3443</v>
      </c>
      <c r="G130" s="71"/>
      <c r="H130" s="71" t="s">
        <v>38</v>
      </c>
      <c r="I130" s="71"/>
      <c r="J130" s="133" t="s">
        <v>3444</v>
      </c>
      <c r="K130" s="71" t="s">
        <v>3445</v>
      </c>
      <c r="L130" s="71"/>
    </row>
    <row r="131" spans="3:12">
      <c r="C131" s="131">
        <v>120</v>
      </c>
      <c r="D131" s="71"/>
      <c r="E131" s="71"/>
      <c r="F131" s="71" t="s">
        <v>3446</v>
      </c>
      <c r="G131" s="71"/>
      <c r="H131" s="71" t="s">
        <v>132</v>
      </c>
      <c r="I131" s="71"/>
      <c r="J131" s="133" t="s">
        <v>3447</v>
      </c>
      <c r="K131" s="71" t="s">
        <v>3448</v>
      </c>
      <c r="L131" s="71"/>
    </row>
    <row r="132" spans="3:12">
      <c r="C132" s="131">
        <v>121</v>
      </c>
      <c r="D132" s="71"/>
      <c r="E132" s="71"/>
      <c r="F132" s="71" t="s">
        <v>3449</v>
      </c>
      <c r="G132" s="71"/>
      <c r="H132" s="71" t="s">
        <v>75</v>
      </c>
      <c r="I132" s="71"/>
      <c r="J132" s="133" t="s">
        <v>3450</v>
      </c>
      <c r="K132" s="71" t="s">
        <v>3448</v>
      </c>
      <c r="L132" s="71"/>
    </row>
    <row r="133" spans="3:12">
      <c r="C133" s="131">
        <v>122</v>
      </c>
      <c r="D133" s="71"/>
      <c r="E133" s="71"/>
      <c r="F133" s="71" t="s">
        <v>3451</v>
      </c>
      <c r="G133" s="71"/>
      <c r="H133" s="71" t="s">
        <v>33</v>
      </c>
      <c r="I133" s="71"/>
      <c r="J133" s="133" t="s">
        <v>3452</v>
      </c>
      <c r="K133" s="71" t="s">
        <v>3453</v>
      </c>
      <c r="L133" s="71"/>
    </row>
    <row r="134" spans="3:12">
      <c r="C134" s="131">
        <v>123</v>
      </c>
      <c r="D134" s="71"/>
      <c r="E134" s="71"/>
      <c r="F134" s="71" t="s">
        <v>3454</v>
      </c>
      <c r="G134" s="71"/>
      <c r="H134" s="71" t="s">
        <v>27</v>
      </c>
      <c r="I134" s="71"/>
      <c r="J134" s="133" t="s">
        <v>3455</v>
      </c>
      <c r="K134" s="71" t="s">
        <v>3456</v>
      </c>
      <c r="L134" s="71"/>
    </row>
    <row r="135" spans="3:12">
      <c r="C135" s="131">
        <v>124</v>
      </c>
      <c r="D135" s="71"/>
      <c r="E135" s="71"/>
      <c r="F135" s="71" t="s">
        <v>3457</v>
      </c>
      <c r="G135" s="71"/>
      <c r="H135" s="71" t="s">
        <v>21</v>
      </c>
      <c r="I135" s="71"/>
      <c r="J135" s="133" t="s">
        <v>3458</v>
      </c>
      <c r="K135" s="71" t="s">
        <v>3459</v>
      </c>
      <c r="L135" s="71"/>
    </row>
    <row r="136" spans="3:12">
      <c r="C136" s="131">
        <v>125</v>
      </c>
      <c r="D136" s="71"/>
      <c r="E136" s="71"/>
      <c r="F136" s="71" t="s">
        <v>3460</v>
      </c>
      <c r="G136" s="71"/>
      <c r="H136" s="71" t="s">
        <v>38</v>
      </c>
      <c r="I136" s="71"/>
      <c r="J136" s="133" t="s">
        <v>3461</v>
      </c>
      <c r="K136" s="71" t="s">
        <v>3462</v>
      </c>
      <c r="L136" s="71"/>
    </row>
    <row r="137" spans="3:12">
      <c r="C137" s="131">
        <v>126</v>
      </c>
      <c r="D137" s="71"/>
      <c r="E137" s="71"/>
      <c r="F137" s="71" t="s">
        <v>3463</v>
      </c>
      <c r="G137" s="71"/>
      <c r="H137" s="71" t="s">
        <v>10</v>
      </c>
      <c r="I137" s="71"/>
      <c r="J137" s="133" t="s">
        <v>3464</v>
      </c>
      <c r="K137" s="71" t="s">
        <v>3465</v>
      </c>
      <c r="L137" s="71"/>
    </row>
    <row r="138" spans="3:12">
      <c r="C138" s="131">
        <v>127</v>
      </c>
      <c r="D138" s="71"/>
      <c r="E138" s="71"/>
      <c r="F138" s="71" t="s">
        <v>3466</v>
      </c>
      <c r="G138" s="71"/>
      <c r="H138" s="71" t="s">
        <v>71</v>
      </c>
      <c r="I138" s="71"/>
      <c r="J138" s="133" t="s">
        <v>3467</v>
      </c>
      <c r="K138" s="71" t="s">
        <v>3468</v>
      </c>
      <c r="L138" s="71"/>
    </row>
    <row r="139" spans="3:12">
      <c r="C139" s="131">
        <v>128</v>
      </c>
      <c r="D139" s="71"/>
      <c r="E139" s="71"/>
      <c r="F139" s="71" t="s">
        <v>3469</v>
      </c>
      <c r="G139" s="71"/>
      <c r="H139" s="71" t="s">
        <v>19</v>
      </c>
      <c r="I139" s="71"/>
      <c r="J139" s="133" t="s">
        <v>3470</v>
      </c>
      <c r="K139" s="71" t="s">
        <v>3471</v>
      </c>
      <c r="L139" s="71"/>
    </row>
    <row r="140" spans="3:12">
      <c r="C140" s="131">
        <v>129</v>
      </c>
      <c r="D140" s="71"/>
      <c r="E140" s="71"/>
      <c r="F140" s="71" t="s">
        <v>3472</v>
      </c>
      <c r="G140" s="71"/>
      <c r="H140" s="71" t="s">
        <v>144</v>
      </c>
      <c r="I140" s="71"/>
      <c r="J140" s="133" t="s">
        <v>3473</v>
      </c>
      <c r="K140" s="71" t="s">
        <v>3474</v>
      </c>
      <c r="L140" s="71"/>
    </row>
    <row r="141" spans="3:12">
      <c r="C141" s="131">
        <v>130</v>
      </c>
      <c r="D141" s="71"/>
      <c r="E141" s="71"/>
      <c r="F141" s="71" t="s">
        <v>3475</v>
      </c>
      <c r="G141" s="71"/>
      <c r="H141" s="71" t="s">
        <v>43</v>
      </c>
      <c r="I141" s="71"/>
      <c r="J141" s="133" t="s">
        <v>3476</v>
      </c>
      <c r="K141" s="71" t="s">
        <v>3477</v>
      </c>
      <c r="L141" s="71"/>
    </row>
    <row r="142" spans="3:12">
      <c r="C142" s="131">
        <v>131</v>
      </c>
      <c r="D142" s="71"/>
      <c r="E142" s="71"/>
      <c r="F142" s="71" t="s">
        <v>3478</v>
      </c>
      <c r="G142" s="71"/>
      <c r="H142" s="71" t="s">
        <v>99</v>
      </c>
      <c r="I142" s="71"/>
      <c r="J142" s="133" t="s">
        <v>3479</v>
      </c>
      <c r="K142" s="71" t="s">
        <v>3477</v>
      </c>
      <c r="L142" s="71"/>
    </row>
    <row r="143" spans="3:12">
      <c r="C143" s="131">
        <v>132</v>
      </c>
      <c r="D143" s="71"/>
      <c r="E143" s="71"/>
      <c r="F143" s="71" t="s">
        <v>3480</v>
      </c>
      <c r="G143" s="71"/>
      <c r="H143" s="71" t="s">
        <v>10</v>
      </c>
      <c r="I143" s="71"/>
      <c r="J143" s="133" t="s">
        <v>3481</v>
      </c>
      <c r="K143" s="71" t="s">
        <v>3482</v>
      </c>
      <c r="L143" s="71"/>
    </row>
    <row r="144" spans="3:12">
      <c r="C144" s="131">
        <v>133</v>
      </c>
      <c r="D144" s="71"/>
      <c r="E144" s="71"/>
      <c r="F144" s="71" t="s">
        <v>3483</v>
      </c>
      <c r="G144" s="71"/>
      <c r="H144" s="71" t="s">
        <v>118</v>
      </c>
      <c r="I144" s="71"/>
      <c r="J144" s="133" t="s">
        <v>3484</v>
      </c>
      <c r="K144" s="71" t="s">
        <v>3485</v>
      </c>
      <c r="L144" s="71"/>
    </row>
    <row r="145" spans="3:12">
      <c r="C145" s="131">
        <v>134</v>
      </c>
      <c r="D145" s="71"/>
      <c r="E145" s="71"/>
      <c r="F145" s="71" t="s">
        <v>3486</v>
      </c>
      <c r="G145" s="71"/>
      <c r="H145" s="71" t="s">
        <v>29</v>
      </c>
      <c r="I145" s="71"/>
      <c r="J145" s="133" t="s">
        <v>3487</v>
      </c>
      <c r="K145" s="71" t="s">
        <v>3488</v>
      </c>
      <c r="L145" s="71"/>
    </row>
    <row r="146" spans="3:12">
      <c r="C146" s="131">
        <v>135</v>
      </c>
      <c r="D146" s="71"/>
      <c r="E146" s="71"/>
      <c r="F146" s="71" t="s">
        <v>3489</v>
      </c>
      <c r="G146" s="71"/>
      <c r="H146" s="71" t="s">
        <v>10</v>
      </c>
      <c r="I146" s="71"/>
      <c r="J146" s="133" t="s">
        <v>3490</v>
      </c>
      <c r="K146" s="71" t="s">
        <v>3491</v>
      </c>
      <c r="L146" s="71"/>
    </row>
    <row r="147" spans="3:12">
      <c r="C147" s="131">
        <v>136</v>
      </c>
      <c r="D147" s="71"/>
      <c r="E147" s="71"/>
      <c r="F147" s="71" t="s">
        <v>3492</v>
      </c>
      <c r="G147" s="71"/>
      <c r="H147" s="71" t="s">
        <v>75</v>
      </c>
      <c r="I147" s="71"/>
      <c r="J147" s="133" t="s">
        <v>3493</v>
      </c>
      <c r="K147" s="71" t="s">
        <v>3494</v>
      </c>
      <c r="L147" s="71"/>
    </row>
    <row r="148" spans="3:12">
      <c r="C148" s="131">
        <v>137</v>
      </c>
      <c r="D148" s="71"/>
      <c r="E148" s="71"/>
      <c r="F148" s="71" t="s">
        <v>3495</v>
      </c>
      <c r="G148" s="71"/>
      <c r="H148" s="71" t="s">
        <v>27</v>
      </c>
      <c r="I148" s="71"/>
      <c r="J148" s="133" t="s">
        <v>3496</v>
      </c>
      <c r="K148" s="71" t="s">
        <v>3497</v>
      </c>
      <c r="L148" s="71"/>
    </row>
    <row r="149" spans="3:12">
      <c r="C149" s="131">
        <v>138</v>
      </c>
      <c r="D149" s="71"/>
      <c r="E149" s="71"/>
      <c r="F149" s="71" t="s">
        <v>3498</v>
      </c>
      <c r="G149" s="71"/>
      <c r="H149" s="71" t="s">
        <v>38</v>
      </c>
      <c r="I149" s="71"/>
      <c r="J149" s="133" t="s">
        <v>3499</v>
      </c>
      <c r="K149" s="71" t="s">
        <v>3500</v>
      </c>
      <c r="L149" s="71"/>
    </row>
    <row r="150" spans="3:12">
      <c r="C150" s="131">
        <v>139</v>
      </c>
      <c r="D150" s="71"/>
      <c r="E150" s="71"/>
      <c r="F150" s="71" t="s">
        <v>3501</v>
      </c>
      <c r="G150" s="71"/>
      <c r="H150" s="71" t="s">
        <v>144</v>
      </c>
      <c r="I150" s="71"/>
      <c r="J150" s="133" t="s">
        <v>3502</v>
      </c>
      <c r="K150" s="71" t="s">
        <v>3500</v>
      </c>
      <c r="L150" s="71"/>
    </row>
    <row r="151" spans="3:12">
      <c r="C151" s="131">
        <v>140</v>
      </c>
      <c r="D151" s="71"/>
      <c r="E151" s="71"/>
      <c r="F151" s="71" t="s">
        <v>3503</v>
      </c>
      <c r="G151" s="71"/>
      <c r="H151" s="71" t="s">
        <v>43</v>
      </c>
      <c r="I151" s="71"/>
      <c r="J151" s="133" t="s">
        <v>3504</v>
      </c>
      <c r="K151" s="71" t="s">
        <v>3505</v>
      </c>
      <c r="L151" s="71"/>
    </row>
    <row r="152" spans="3:12">
      <c r="C152" s="131">
        <v>141</v>
      </c>
      <c r="D152" s="71"/>
      <c r="E152" s="71"/>
      <c r="F152" s="71" t="s">
        <v>3506</v>
      </c>
      <c r="G152" s="71"/>
      <c r="H152" s="71" t="s">
        <v>71</v>
      </c>
      <c r="I152" s="71"/>
      <c r="J152" s="133" t="s">
        <v>3507</v>
      </c>
      <c r="K152" s="71" t="s">
        <v>3508</v>
      </c>
      <c r="L152" s="71"/>
    </row>
    <row r="153" spans="3:12">
      <c r="C153" s="131">
        <v>142</v>
      </c>
      <c r="D153" s="71"/>
      <c r="E153" s="71"/>
      <c r="F153" s="71" t="s">
        <v>3509</v>
      </c>
      <c r="G153" s="71"/>
      <c r="H153" s="71" t="s">
        <v>71</v>
      </c>
      <c r="I153" s="71"/>
      <c r="J153" s="133" t="s">
        <v>3510</v>
      </c>
      <c r="K153" s="71" t="s">
        <v>3508</v>
      </c>
      <c r="L153" s="71"/>
    </row>
    <row r="154" spans="3:12">
      <c r="C154" s="131">
        <v>143</v>
      </c>
      <c r="D154" s="71"/>
      <c r="E154" s="71"/>
      <c r="F154" s="71" t="s">
        <v>3511</v>
      </c>
      <c r="G154" s="71"/>
      <c r="H154" s="71" t="s">
        <v>10</v>
      </c>
      <c r="I154" s="71"/>
      <c r="J154" s="133" t="s">
        <v>3512</v>
      </c>
      <c r="K154" s="71" t="s">
        <v>3513</v>
      </c>
      <c r="L154" s="71"/>
    </row>
    <row r="155" spans="3:12">
      <c r="C155" s="131">
        <v>144</v>
      </c>
      <c r="D155" s="71"/>
      <c r="E155" s="71"/>
      <c r="F155" s="71" t="s">
        <v>3514</v>
      </c>
      <c r="G155" s="71"/>
      <c r="H155" s="71" t="s">
        <v>118</v>
      </c>
      <c r="I155" s="71"/>
      <c r="J155" s="133" t="s">
        <v>3515</v>
      </c>
      <c r="K155" s="71" t="s">
        <v>3516</v>
      </c>
      <c r="L155" s="71"/>
    </row>
    <row r="156" spans="3:12">
      <c r="C156" s="131">
        <v>145</v>
      </c>
      <c r="D156" s="71"/>
      <c r="E156" s="71"/>
      <c r="F156" s="71" t="s">
        <v>3517</v>
      </c>
      <c r="G156" s="71"/>
      <c r="H156" s="71" t="s">
        <v>43</v>
      </c>
      <c r="I156" s="71"/>
      <c r="J156" s="133" t="s">
        <v>3518</v>
      </c>
      <c r="K156" s="71" t="s">
        <v>3519</v>
      </c>
      <c r="L156" s="71"/>
    </row>
    <row r="157" spans="3:12">
      <c r="C157" s="131">
        <v>146</v>
      </c>
      <c r="D157" s="71"/>
      <c r="E157" s="71"/>
      <c r="F157" s="71" t="s">
        <v>3520</v>
      </c>
      <c r="G157" s="71"/>
      <c r="H157" s="71" t="s">
        <v>33</v>
      </c>
      <c r="I157" s="71"/>
      <c r="J157" s="133" t="s">
        <v>3521</v>
      </c>
      <c r="K157" s="71" t="s">
        <v>3522</v>
      </c>
      <c r="L157" s="71"/>
    </row>
    <row r="158" spans="3:12">
      <c r="C158" s="131">
        <v>147</v>
      </c>
      <c r="D158" s="71"/>
      <c r="E158" s="71"/>
      <c r="F158" s="71" t="s">
        <v>3523</v>
      </c>
      <c r="G158" s="71"/>
      <c r="H158" s="71" t="s">
        <v>144</v>
      </c>
      <c r="I158" s="71"/>
      <c r="J158" s="133" t="s">
        <v>3524</v>
      </c>
      <c r="K158" s="71" t="s">
        <v>3525</v>
      </c>
      <c r="L158" s="71"/>
    </row>
    <row r="159" spans="3:12">
      <c r="C159" s="131">
        <v>148</v>
      </c>
      <c r="D159" s="71"/>
      <c r="E159" s="71"/>
      <c r="F159" s="71" t="s">
        <v>3526</v>
      </c>
      <c r="G159" s="71"/>
      <c r="H159" s="71" t="s">
        <v>38</v>
      </c>
      <c r="I159" s="71"/>
      <c r="J159" s="133" t="s">
        <v>3527</v>
      </c>
      <c r="K159" s="71" t="s">
        <v>3528</v>
      </c>
      <c r="L159" s="71"/>
    </row>
    <row r="160" spans="3:12">
      <c r="C160" s="131">
        <v>149</v>
      </c>
      <c r="D160" s="71"/>
      <c r="E160" s="71"/>
      <c r="F160" s="71" t="s">
        <v>3529</v>
      </c>
      <c r="G160" s="71"/>
      <c r="H160" s="71" t="s">
        <v>144</v>
      </c>
      <c r="I160" s="71"/>
      <c r="J160" s="133" t="s">
        <v>3530</v>
      </c>
      <c r="K160" s="71" t="s">
        <v>3531</v>
      </c>
      <c r="L160" s="71"/>
    </row>
    <row r="161" spans="3:12">
      <c r="C161" s="131">
        <v>150</v>
      </c>
      <c r="D161" s="71"/>
      <c r="E161" s="71"/>
      <c r="F161" s="71" t="s">
        <v>3532</v>
      </c>
      <c r="G161" s="71"/>
      <c r="H161" s="71" t="s">
        <v>43</v>
      </c>
      <c r="I161" s="71"/>
      <c r="J161" s="133" t="s">
        <v>3533</v>
      </c>
      <c r="K161" s="71" t="s">
        <v>3534</v>
      </c>
      <c r="L161" s="71"/>
    </row>
    <row r="162" spans="3:12">
      <c r="C162" s="131">
        <v>151</v>
      </c>
      <c r="D162" s="71"/>
      <c r="E162" s="71"/>
      <c r="F162" s="71" t="s">
        <v>3535</v>
      </c>
      <c r="G162" s="71"/>
      <c r="H162" s="71" t="s">
        <v>10</v>
      </c>
      <c r="I162" s="71"/>
      <c r="J162" s="133" t="s">
        <v>3536</v>
      </c>
      <c r="K162" s="71" t="s">
        <v>3537</v>
      </c>
      <c r="L162" s="71"/>
    </row>
    <row r="163" spans="3:12">
      <c r="C163" s="131">
        <v>152</v>
      </c>
      <c r="D163" s="71"/>
      <c r="E163" s="71"/>
      <c r="F163" s="71" t="s">
        <v>3538</v>
      </c>
      <c r="G163" s="71"/>
      <c r="H163" s="71" t="s">
        <v>16</v>
      </c>
      <c r="I163" s="71"/>
      <c r="J163" s="133" t="s">
        <v>3539</v>
      </c>
      <c r="K163" s="71" t="s">
        <v>3540</v>
      </c>
      <c r="L163" s="71"/>
    </row>
    <row r="164" spans="3:12">
      <c r="C164" s="131">
        <v>153</v>
      </c>
      <c r="D164" s="71"/>
      <c r="E164" s="71"/>
      <c r="F164" s="71" t="s">
        <v>3541</v>
      </c>
      <c r="G164" s="71"/>
      <c r="H164" s="71" t="s">
        <v>43</v>
      </c>
      <c r="I164" s="71"/>
      <c r="J164" s="133" t="s">
        <v>3542</v>
      </c>
      <c r="K164" s="71" t="s">
        <v>3543</v>
      </c>
      <c r="L164" s="71"/>
    </row>
    <row r="165" spans="3:12">
      <c r="C165" s="131">
        <v>154</v>
      </c>
      <c r="D165" s="71"/>
      <c r="E165" s="71"/>
      <c r="F165" s="71" t="s">
        <v>3544</v>
      </c>
      <c r="G165" s="71"/>
      <c r="H165" s="71" t="s">
        <v>21</v>
      </c>
      <c r="I165" s="71"/>
      <c r="J165" s="133" t="s">
        <v>3545</v>
      </c>
      <c r="K165" s="71" t="s">
        <v>3546</v>
      </c>
      <c r="L165" s="71"/>
    </row>
    <row r="166" spans="3:12">
      <c r="C166" s="131">
        <v>155</v>
      </c>
      <c r="D166" s="71"/>
      <c r="E166" s="71"/>
      <c r="F166" s="71" t="s">
        <v>3547</v>
      </c>
      <c r="G166" s="71"/>
      <c r="H166" s="71" t="s">
        <v>33</v>
      </c>
      <c r="I166" s="71"/>
      <c r="J166" s="133" t="s">
        <v>3548</v>
      </c>
      <c r="K166" s="71" t="s">
        <v>3549</v>
      </c>
      <c r="L166" s="71"/>
    </row>
    <row r="167" spans="3:12">
      <c r="C167" s="131">
        <v>156</v>
      </c>
      <c r="D167" s="71"/>
      <c r="E167" s="71"/>
      <c r="F167" s="71" t="s">
        <v>3550</v>
      </c>
      <c r="G167" s="71"/>
      <c r="H167" s="71" t="s">
        <v>45</v>
      </c>
      <c r="I167" s="71"/>
      <c r="J167" s="133" t="s">
        <v>3551</v>
      </c>
      <c r="K167" s="71" t="s">
        <v>3552</v>
      </c>
      <c r="L167" s="71"/>
    </row>
    <row r="168" spans="3:12">
      <c r="C168" s="131">
        <v>157</v>
      </c>
      <c r="D168" s="71"/>
      <c r="E168" s="71"/>
      <c r="F168" s="71" t="s">
        <v>3553</v>
      </c>
      <c r="G168" s="71"/>
      <c r="H168" s="71" t="s">
        <v>45</v>
      </c>
      <c r="I168" s="71"/>
      <c r="J168" s="133" t="s">
        <v>3554</v>
      </c>
      <c r="K168" s="71" t="s">
        <v>3555</v>
      </c>
      <c r="L168" s="71"/>
    </row>
    <row r="169" spans="3:12">
      <c r="C169" s="131">
        <v>158</v>
      </c>
      <c r="D169" s="71"/>
      <c r="E169" s="71"/>
      <c r="F169" s="71" t="s">
        <v>3556</v>
      </c>
      <c r="G169" s="71"/>
      <c r="H169" s="71" t="s">
        <v>21</v>
      </c>
      <c r="I169" s="71"/>
      <c r="J169" s="133" t="s">
        <v>3557</v>
      </c>
      <c r="K169" s="71" t="s">
        <v>3558</v>
      </c>
      <c r="L169" s="71"/>
    </row>
    <row r="170" spans="3:12">
      <c r="C170" s="131">
        <v>159</v>
      </c>
      <c r="D170" s="71"/>
      <c r="E170" s="71"/>
      <c r="F170" s="71" t="s">
        <v>3559</v>
      </c>
      <c r="G170" s="71"/>
      <c r="H170" s="71" t="s">
        <v>99</v>
      </c>
      <c r="I170" s="71"/>
      <c r="J170" s="133" t="s">
        <v>3560</v>
      </c>
      <c r="K170" s="71" t="s">
        <v>3558</v>
      </c>
      <c r="L170" s="71"/>
    </row>
    <row r="171" spans="3:12">
      <c r="C171" s="131">
        <v>160</v>
      </c>
      <c r="D171" s="71"/>
      <c r="E171" s="71"/>
      <c r="F171" s="71" t="s">
        <v>3561</v>
      </c>
      <c r="G171" s="71"/>
      <c r="H171" s="71" t="s">
        <v>113</v>
      </c>
      <c r="I171" s="71"/>
      <c r="J171" s="133" t="s">
        <v>3562</v>
      </c>
      <c r="K171" s="71" t="s">
        <v>3563</v>
      </c>
      <c r="L171" s="71"/>
    </row>
    <row r="172" spans="3:12">
      <c r="C172" s="131">
        <v>161</v>
      </c>
      <c r="D172" s="71"/>
      <c r="E172" s="71"/>
      <c r="F172" s="71" t="s">
        <v>3564</v>
      </c>
      <c r="G172" s="71"/>
      <c r="H172" s="71" t="s">
        <v>132</v>
      </c>
      <c r="I172" s="71"/>
      <c r="J172" s="133" t="s">
        <v>3565</v>
      </c>
      <c r="K172" s="71" t="s">
        <v>3566</v>
      </c>
      <c r="L172" s="71"/>
    </row>
    <row r="173" spans="3:12">
      <c r="C173" s="131">
        <v>162</v>
      </c>
      <c r="D173" s="71"/>
      <c r="E173" s="71"/>
      <c r="F173" s="71" t="s">
        <v>3567</v>
      </c>
      <c r="G173" s="71"/>
      <c r="H173" s="71" t="s">
        <v>43</v>
      </c>
      <c r="I173" s="71"/>
      <c r="J173" s="133" t="s">
        <v>3568</v>
      </c>
      <c r="K173" s="71" t="s">
        <v>3569</v>
      </c>
      <c r="L173" s="71"/>
    </row>
    <row r="174" spans="3:12">
      <c r="C174" s="131">
        <v>163</v>
      </c>
      <c r="D174" s="71"/>
      <c r="E174" s="71"/>
      <c r="F174" s="71" t="s">
        <v>3570</v>
      </c>
      <c r="G174" s="71"/>
      <c r="H174" s="71" t="s">
        <v>138</v>
      </c>
      <c r="I174" s="71"/>
      <c r="J174" s="133" t="s">
        <v>3571</v>
      </c>
      <c r="K174" s="71" t="s">
        <v>3572</v>
      </c>
      <c r="L174" s="71"/>
    </row>
    <row r="175" spans="3:12">
      <c r="C175" s="131">
        <v>164</v>
      </c>
      <c r="D175" s="71"/>
      <c r="E175" s="71"/>
      <c r="F175" s="71" t="s">
        <v>3573</v>
      </c>
      <c r="G175" s="71"/>
      <c r="H175" s="71" t="s">
        <v>77</v>
      </c>
      <c r="I175" s="71"/>
      <c r="J175" s="133" t="s">
        <v>3574</v>
      </c>
      <c r="K175" s="71" t="s">
        <v>3575</v>
      </c>
      <c r="L175" s="71"/>
    </row>
    <row r="176" spans="3:12">
      <c r="C176" s="131">
        <v>165</v>
      </c>
      <c r="D176" s="71"/>
      <c r="E176" s="71"/>
      <c r="F176" s="71" t="s">
        <v>3576</v>
      </c>
      <c r="G176" s="71"/>
      <c r="H176" s="71" t="s">
        <v>113</v>
      </c>
      <c r="I176" s="71"/>
      <c r="J176" s="133" t="s">
        <v>3577</v>
      </c>
      <c r="K176" s="71" t="s">
        <v>3578</v>
      </c>
      <c r="L176" s="71"/>
    </row>
    <row r="177" spans="3:12">
      <c r="C177" s="131">
        <v>166</v>
      </c>
      <c r="D177" s="71"/>
      <c r="E177" s="71"/>
      <c r="F177" s="71" t="s">
        <v>3579</v>
      </c>
      <c r="G177" s="71"/>
      <c r="H177" s="71" t="s">
        <v>77</v>
      </c>
      <c r="I177" s="71"/>
      <c r="J177" s="133" t="s">
        <v>3580</v>
      </c>
      <c r="K177" s="71" t="s">
        <v>3581</v>
      </c>
      <c r="L177" s="71"/>
    </row>
    <row r="178" spans="3:12">
      <c r="C178" s="131">
        <v>167</v>
      </c>
      <c r="D178" s="71"/>
      <c r="E178" s="71"/>
      <c r="F178" s="71" t="s">
        <v>3582</v>
      </c>
      <c r="G178" s="71"/>
      <c r="H178" s="71" t="s">
        <v>29</v>
      </c>
      <c r="I178" s="71"/>
      <c r="J178" s="133" t="s">
        <v>3583</v>
      </c>
      <c r="K178" s="71" t="s">
        <v>3584</v>
      </c>
      <c r="L178" s="71"/>
    </row>
    <row r="179" spans="3:12">
      <c r="C179" s="131">
        <v>168</v>
      </c>
      <c r="D179" s="71"/>
      <c r="E179" s="71"/>
      <c r="F179" s="71" t="s">
        <v>3585</v>
      </c>
      <c r="G179" s="71"/>
      <c r="H179" s="71" t="s">
        <v>64</v>
      </c>
      <c r="I179" s="71"/>
      <c r="J179" s="133" t="s">
        <v>3586</v>
      </c>
      <c r="K179" s="71" t="s">
        <v>3584</v>
      </c>
      <c r="L179" s="71"/>
    </row>
    <row r="180" spans="3:12">
      <c r="C180" s="131">
        <v>169</v>
      </c>
      <c r="D180" s="71"/>
      <c r="E180" s="71"/>
      <c r="F180" s="71" t="s">
        <v>3587</v>
      </c>
      <c r="G180" s="71"/>
      <c r="H180" s="71" t="s">
        <v>71</v>
      </c>
      <c r="I180" s="71"/>
      <c r="J180" s="133" t="s">
        <v>3588</v>
      </c>
      <c r="K180" s="71" t="s">
        <v>3589</v>
      </c>
      <c r="L180" s="71"/>
    </row>
    <row r="181" spans="3:12">
      <c r="C181" s="131">
        <v>170</v>
      </c>
      <c r="D181" s="71"/>
      <c r="E181" s="71"/>
      <c r="F181" s="71" t="s">
        <v>3590</v>
      </c>
      <c r="G181" s="71"/>
      <c r="H181" s="71" t="s">
        <v>132</v>
      </c>
      <c r="I181" s="71"/>
      <c r="J181" s="133" t="s">
        <v>3591</v>
      </c>
      <c r="K181" s="71" t="s">
        <v>3589</v>
      </c>
      <c r="L181" s="71"/>
    </row>
    <row r="182" spans="3:12">
      <c r="C182" s="131">
        <v>171</v>
      </c>
      <c r="D182" s="71"/>
      <c r="E182" s="71"/>
      <c r="F182" s="71" t="s">
        <v>3592</v>
      </c>
      <c r="G182" s="71"/>
      <c r="H182" s="71" t="s">
        <v>77</v>
      </c>
      <c r="I182" s="71"/>
      <c r="J182" s="133" t="s">
        <v>3593</v>
      </c>
      <c r="K182" s="71" t="s">
        <v>3594</v>
      </c>
      <c r="L182" s="71"/>
    </row>
    <row r="183" spans="3:12">
      <c r="C183" s="131">
        <v>172</v>
      </c>
      <c r="D183" s="71"/>
      <c r="E183" s="71"/>
      <c r="F183" s="71" t="s">
        <v>3595</v>
      </c>
      <c r="G183" s="71"/>
      <c r="H183" s="71" t="s">
        <v>77</v>
      </c>
      <c r="I183" s="71"/>
      <c r="J183" s="133" t="s">
        <v>3596</v>
      </c>
      <c r="K183" s="71" t="s">
        <v>3594</v>
      </c>
      <c r="L183" s="71"/>
    </row>
    <row r="184" spans="3:12">
      <c r="C184" s="131">
        <v>173</v>
      </c>
      <c r="D184" s="71"/>
      <c r="E184" s="71"/>
      <c r="F184" s="71" t="s">
        <v>3597</v>
      </c>
      <c r="G184" s="71"/>
      <c r="H184" s="71" t="s">
        <v>218</v>
      </c>
      <c r="I184" s="71"/>
      <c r="J184" s="133" t="s">
        <v>3598</v>
      </c>
      <c r="K184" s="71" t="s">
        <v>3594</v>
      </c>
      <c r="L184" s="71"/>
    </row>
    <row r="185" spans="3:12">
      <c r="C185" s="131">
        <v>174</v>
      </c>
      <c r="D185" s="71"/>
      <c r="E185" s="71"/>
      <c r="F185" s="71" t="s">
        <v>3599</v>
      </c>
      <c r="G185" s="71"/>
      <c r="H185" s="71" t="s">
        <v>45</v>
      </c>
      <c r="I185" s="71"/>
      <c r="J185" s="133" t="s">
        <v>3600</v>
      </c>
      <c r="K185" s="71" t="s">
        <v>3601</v>
      </c>
      <c r="L185" s="71"/>
    </row>
    <row r="186" spans="3:12">
      <c r="C186" s="131">
        <v>175</v>
      </c>
      <c r="D186" s="71"/>
      <c r="E186" s="71"/>
      <c r="F186" s="71" t="s">
        <v>3602</v>
      </c>
      <c r="G186" s="71"/>
      <c r="H186" s="71" t="s">
        <v>38</v>
      </c>
      <c r="I186" s="71"/>
      <c r="J186" s="133" t="s">
        <v>3603</v>
      </c>
      <c r="K186" s="71"/>
      <c r="L186" s="71"/>
    </row>
    <row r="187" spans="3:12">
      <c r="C187" s="131">
        <v>176</v>
      </c>
      <c r="D187" s="71"/>
      <c r="E187" s="71"/>
      <c r="F187" s="71" t="s">
        <v>3604</v>
      </c>
      <c r="G187" s="71"/>
      <c r="H187" s="71" t="s">
        <v>38</v>
      </c>
      <c r="I187" s="71"/>
      <c r="J187" s="133" t="s">
        <v>3605</v>
      </c>
      <c r="K187" s="71"/>
      <c r="L187" s="71"/>
    </row>
    <row r="188" spans="3:12">
      <c r="C188" s="131">
        <v>177</v>
      </c>
      <c r="D188" s="71"/>
      <c r="E188" s="71"/>
      <c r="F188" s="71" t="s">
        <v>3606</v>
      </c>
      <c r="G188" s="71"/>
      <c r="H188" s="71" t="s">
        <v>38</v>
      </c>
      <c r="I188" s="71"/>
      <c r="J188" s="133"/>
      <c r="K188" s="71"/>
      <c r="L188" s="71"/>
    </row>
    <row r="189" spans="3:12">
      <c r="C189" s="131">
        <v>178</v>
      </c>
      <c r="D189" s="71"/>
      <c r="E189" s="71"/>
      <c r="F189" s="71" t="s">
        <v>3607</v>
      </c>
      <c r="G189" s="71"/>
      <c r="H189" s="71" t="s">
        <v>31</v>
      </c>
      <c r="I189" s="71"/>
      <c r="J189" s="133" t="s">
        <v>3608</v>
      </c>
      <c r="K189" s="71"/>
      <c r="L189" s="71"/>
    </row>
    <row r="190" spans="3:12">
      <c r="C190" s="131">
        <v>179</v>
      </c>
      <c r="D190" s="71"/>
      <c r="E190" s="71"/>
      <c r="F190" s="71" t="s">
        <v>3609</v>
      </c>
      <c r="G190" s="71"/>
      <c r="H190" s="71" t="s">
        <v>38</v>
      </c>
      <c r="I190" s="71"/>
      <c r="J190" s="133" t="s">
        <v>3610</v>
      </c>
      <c r="K190" s="71"/>
      <c r="L190" s="71"/>
    </row>
    <row r="191" spans="3:12">
      <c r="C191" s="131">
        <v>180</v>
      </c>
      <c r="D191" s="71"/>
      <c r="E191" s="71"/>
      <c r="F191" s="71" t="s">
        <v>3611</v>
      </c>
      <c r="G191" s="71"/>
      <c r="H191" s="71" t="s">
        <v>33</v>
      </c>
      <c r="I191" s="71"/>
      <c r="J191" s="133" t="s">
        <v>3612</v>
      </c>
      <c r="K191" s="71"/>
      <c r="L191" s="71"/>
    </row>
    <row r="192" spans="3:12">
      <c r="C192" s="131">
        <v>181</v>
      </c>
      <c r="D192" s="71"/>
      <c r="E192" s="71"/>
      <c r="F192" s="71" t="s">
        <v>3613</v>
      </c>
      <c r="G192" s="71"/>
      <c r="H192" s="71" t="s">
        <v>158</v>
      </c>
      <c r="I192" s="71"/>
      <c r="J192" s="133" t="s">
        <v>3614</v>
      </c>
      <c r="K192" s="71"/>
      <c r="L192" s="71"/>
    </row>
    <row r="193" spans="3:12">
      <c r="C193" s="131">
        <v>182</v>
      </c>
      <c r="D193" s="71"/>
      <c r="E193" s="71"/>
      <c r="F193" s="71" t="s">
        <v>3615</v>
      </c>
      <c r="G193" s="71"/>
      <c r="H193" s="71" t="s">
        <v>33</v>
      </c>
      <c r="I193" s="71"/>
      <c r="J193" s="133" t="s">
        <v>3616</v>
      </c>
      <c r="K193" s="71"/>
      <c r="L193" s="71"/>
    </row>
    <row r="194" spans="3:12">
      <c r="J194" s="1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I229"/>
  <sheetViews>
    <sheetView topLeftCell="A208" workbookViewId="0">
      <selection activeCell="F11" sqref="F11:F228"/>
    </sheetView>
  </sheetViews>
  <sheetFormatPr defaultColWidth="9" defaultRowHeight="15"/>
  <cols>
    <col min="1" max="1" width="1.7109375" customWidth="1"/>
    <col min="2" max="2" width="5.42578125" style="78" customWidth="1"/>
    <col min="3" max="3" width="29.7109375" customWidth="1"/>
    <col min="4" max="4" width="6" customWidth="1"/>
    <col min="5" max="5" width="6.140625" customWidth="1"/>
    <col min="6" max="6" width="14.28515625" customWidth="1"/>
    <col min="7" max="7" width="8" customWidth="1"/>
    <col min="8" max="8" width="25.7109375" customWidth="1"/>
    <col min="9" max="256" width="8.5703125" customWidth="1"/>
  </cols>
  <sheetData>
    <row r="1" spans="2:9" ht="15.75">
      <c r="B1" s="142"/>
    </row>
    <row r="2" spans="2:9" ht="15.75">
      <c r="B2" s="142"/>
      <c r="D2" s="44" t="s">
        <v>0</v>
      </c>
      <c r="E2" s="42"/>
    </row>
    <row r="3" spans="2:9" ht="15.75">
      <c r="D3" s="44" t="s">
        <v>1</v>
      </c>
      <c r="E3" s="42"/>
    </row>
    <row r="4" spans="2:9" ht="15.75">
      <c r="D4" s="46" t="s">
        <v>2</v>
      </c>
      <c r="E4" s="42"/>
    </row>
    <row r="5" spans="2:9" ht="15.75">
      <c r="D5" s="46"/>
      <c r="E5" s="42"/>
    </row>
    <row r="6" spans="2:9" ht="15.75">
      <c r="C6" s="143" t="s">
        <v>551</v>
      </c>
      <c r="D6" s="45"/>
      <c r="E6" s="45"/>
      <c r="F6" s="45"/>
      <c r="G6" s="45"/>
      <c r="H6" s="45"/>
      <c r="I6" s="45"/>
    </row>
    <row r="7" spans="2:9" ht="15.75">
      <c r="C7" s="143" t="s">
        <v>552</v>
      </c>
      <c r="D7" s="45"/>
      <c r="E7" s="45"/>
      <c r="F7" s="45"/>
      <c r="G7" s="45"/>
      <c r="H7" s="45"/>
      <c r="I7" s="45"/>
    </row>
    <row r="8" spans="2:9" ht="20.25">
      <c r="C8" s="144"/>
      <c r="D8" s="45"/>
      <c r="E8" s="45"/>
      <c r="F8" s="45"/>
      <c r="G8" s="45"/>
      <c r="H8" s="45"/>
      <c r="I8" s="45"/>
    </row>
    <row r="10" spans="2:9" ht="30">
      <c r="B10" s="79" t="s">
        <v>3</v>
      </c>
      <c r="C10" s="145" t="s">
        <v>4</v>
      </c>
      <c r="D10" s="145" t="s">
        <v>6</v>
      </c>
      <c r="E10" s="145" t="s">
        <v>7</v>
      </c>
      <c r="F10" s="145" t="s">
        <v>306</v>
      </c>
      <c r="G10" s="145" t="s">
        <v>305</v>
      </c>
      <c r="H10" s="145" t="s">
        <v>545</v>
      </c>
    </row>
    <row r="11" spans="2:9" ht="21" customHeight="1">
      <c r="B11" s="82">
        <v>1</v>
      </c>
      <c r="C11" s="146" t="s">
        <v>307</v>
      </c>
      <c r="D11" s="146" t="s">
        <v>9</v>
      </c>
      <c r="E11" s="146" t="s">
        <v>16</v>
      </c>
      <c r="F11" s="146">
        <v>7033465538</v>
      </c>
      <c r="G11" s="147">
        <v>39814</v>
      </c>
      <c r="H11" s="146" t="s">
        <v>308</v>
      </c>
    </row>
    <row r="12" spans="2:9">
      <c r="B12" s="82">
        <v>2</v>
      </c>
      <c r="C12" s="146" t="s">
        <v>309</v>
      </c>
      <c r="D12" s="146" t="s">
        <v>12</v>
      </c>
      <c r="E12" s="146" t="s">
        <v>113</v>
      </c>
      <c r="F12" s="146">
        <v>7036521171</v>
      </c>
      <c r="G12" s="147">
        <v>39814</v>
      </c>
      <c r="H12" s="146"/>
    </row>
    <row r="13" spans="2:9">
      <c r="B13" s="82">
        <v>3</v>
      </c>
      <c r="C13" s="146" t="s">
        <v>310</v>
      </c>
      <c r="D13" s="146" t="s">
        <v>12</v>
      </c>
      <c r="E13" s="146" t="s">
        <v>118</v>
      </c>
      <c r="F13" s="146">
        <v>8061186647</v>
      </c>
      <c r="G13" s="147">
        <v>42736</v>
      </c>
      <c r="H13" s="146"/>
    </row>
    <row r="14" spans="2:9">
      <c r="B14" s="82">
        <v>4</v>
      </c>
      <c r="C14" s="146" t="s">
        <v>311</v>
      </c>
      <c r="D14" s="146" t="s">
        <v>12</v>
      </c>
      <c r="E14" s="146" t="s">
        <v>33</v>
      </c>
      <c r="F14" s="146">
        <v>8032105544</v>
      </c>
      <c r="G14" s="147">
        <v>41275</v>
      </c>
      <c r="H14" s="146" t="s">
        <v>312</v>
      </c>
    </row>
    <row r="15" spans="2:9">
      <c r="B15" s="82">
        <v>5</v>
      </c>
      <c r="C15" s="146" t="s">
        <v>313</v>
      </c>
      <c r="D15" s="146" t="s">
        <v>12</v>
      </c>
      <c r="E15" s="146" t="s">
        <v>43</v>
      </c>
      <c r="F15" s="146">
        <v>8026881140</v>
      </c>
      <c r="G15" s="147">
        <v>41275</v>
      </c>
      <c r="H15" s="146" t="s">
        <v>314</v>
      </c>
    </row>
    <row r="16" spans="2:9">
      <c r="B16" s="82">
        <v>6</v>
      </c>
      <c r="C16" s="146" t="s">
        <v>315</v>
      </c>
      <c r="D16" s="146" t="s">
        <v>12</v>
      </c>
      <c r="E16" s="146" t="s">
        <v>31</v>
      </c>
      <c r="F16" s="146"/>
      <c r="G16" s="147">
        <v>39083</v>
      </c>
      <c r="H16" s="146"/>
    </row>
    <row r="17" spans="2:8">
      <c r="B17" s="82">
        <v>7</v>
      </c>
      <c r="C17" s="146" t="s">
        <v>316</v>
      </c>
      <c r="D17" s="146" t="s">
        <v>12</v>
      </c>
      <c r="E17" s="146" t="s">
        <v>317</v>
      </c>
      <c r="F17" s="146">
        <v>8030469302</v>
      </c>
      <c r="G17" s="147">
        <v>37622</v>
      </c>
      <c r="H17" s="146"/>
    </row>
    <row r="18" spans="2:8">
      <c r="B18" s="82">
        <v>8</v>
      </c>
      <c r="C18" s="146" t="s">
        <v>318</v>
      </c>
      <c r="D18" s="146" t="s">
        <v>12</v>
      </c>
      <c r="E18" s="146" t="s">
        <v>49</v>
      </c>
      <c r="F18" s="146">
        <v>8132129143</v>
      </c>
      <c r="G18" s="147">
        <v>40909</v>
      </c>
      <c r="H18" s="146" t="s">
        <v>319</v>
      </c>
    </row>
    <row r="19" spans="2:8">
      <c r="B19" s="82">
        <v>9</v>
      </c>
      <c r="C19" s="146" t="s">
        <v>320</v>
      </c>
      <c r="D19" s="146" t="s">
        <v>12</v>
      </c>
      <c r="E19" s="146" t="s">
        <v>53</v>
      </c>
      <c r="F19" s="146">
        <v>8032172500</v>
      </c>
      <c r="G19" s="147">
        <v>40179</v>
      </c>
      <c r="H19" s="146"/>
    </row>
    <row r="20" spans="2:8">
      <c r="B20" s="82">
        <v>10</v>
      </c>
      <c r="C20" s="146" t="s">
        <v>321</v>
      </c>
      <c r="D20" s="146" t="s">
        <v>12</v>
      </c>
      <c r="E20" s="146" t="s">
        <v>96</v>
      </c>
      <c r="F20" s="146">
        <v>7032573172</v>
      </c>
      <c r="G20" s="147">
        <v>40179</v>
      </c>
      <c r="H20" s="146"/>
    </row>
    <row r="21" spans="2:8">
      <c r="B21" s="82">
        <v>11</v>
      </c>
      <c r="C21" s="146" t="s">
        <v>322</v>
      </c>
      <c r="D21" s="146" t="s">
        <v>9</v>
      </c>
      <c r="E21" s="146" t="s">
        <v>27</v>
      </c>
      <c r="F21" s="146">
        <v>8032820336</v>
      </c>
      <c r="G21" s="147">
        <v>39448</v>
      </c>
      <c r="H21" s="146"/>
    </row>
    <row r="22" spans="2:8">
      <c r="B22" s="82">
        <v>12</v>
      </c>
      <c r="C22" s="146" t="s">
        <v>323</v>
      </c>
      <c r="D22" s="146" t="s">
        <v>12</v>
      </c>
      <c r="E22" s="146" t="s">
        <v>99</v>
      </c>
      <c r="F22" s="146">
        <v>8062635954</v>
      </c>
      <c r="G22" s="147">
        <v>42736</v>
      </c>
      <c r="H22" s="146"/>
    </row>
    <row r="23" spans="2:8">
      <c r="B23" s="82">
        <v>13</v>
      </c>
      <c r="C23" s="146" t="s">
        <v>324</v>
      </c>
      <c r="D23" s="146" t="s">
        <v>12</v>
      </c>
      <c r="E23" s="146" t="s">
        <v>118</v>
      </c>
      <c r="F23" s="146">
        <v>7065719600</v>
      </c>
      <c r="G23" s="147">
        <v>47119</v>
      </c>
      <c r="H23" s="146" t="s">
        <v>325</v>
      </c>
    </row>
    <row r="24" spans="2:8">
      <c r="B24" s="82">
        <v>14</v>
      </c>
      <c r="C24" s="146" t="s">
        <v>326</v>
      </c>
      <c r="D24" s="146" t="s">
        <v>12</v>
      </c>
      <c r="E24" s="146" t="s">
        <v>27</v>
      </c>
      <c r="F24" s="146">
        <v>7060539447</v>
      </c>
      <c r="G24" s="147">
        <v>43831</v>
      </c>
      <c r="H24" s="146"/>
    </row>
    <row r="25" spans="2:8">
      <c r="B25" s="82">
        <v>15</v>
      </c>
      <c r="C25" s="146" t="s">
        <v>327</v>
      </c>
      <c r="D25" s="146" t="s">
        <v>12</v>
      </c>
      <c r="E25" s="146" t="s">
        <v>317</v>
      </c>
      <c r="F25" s="146">
        <v>7039221051</v>
      </c>
      <c r="G25" s="147">
        <v>38353</v>
      </c>
      <c r="H25" s="146" t="s">
        <v>308</v>
      </c>
    </row>
    <row r="26" spans="2:8">
      <c r="B26" s="82">
        <v>16</v>
      </c>
      <c r="C26" s="146" t="s">
        <v>328</v>
      </c>
      <c r="D26" s="146" t="s">
        <v>12</v>
      </c>
      <c r="E26" s="146" t="s">
        <v>27</v>
      </c>
      <c r="F26" s="146">
        <v>7034737980</v>
      </c>
      <c r="G26" s="147">
        <v>45292</v>
      </c>
      <c r="H26" s="146"/>
    </row>
    <row r="27" spans="2:8">
      <c r="B27" s="82">
        <v>17</v>
      </c>
      <c r="C27" s="146" t="s">
        <v>329</v>
      </c>
      <c r="D27" s="146" t="s">
        <v>12</v>
      </c>
      <c r="E27" s="146" t="s">
        <v>38</v>
      </c>
      <c r="F27" s="146">
        <v>8066223558</v>
      </c>
      <c r="G27" s="147">
        <v>46388</v>
      </c>
      <c r="H27" s="146" t="s">
        <v>330</v>
      </c>
    </row>
    <row r="28" spans="2:8">
      <c r="B28" s="82">
        <v>18</v>
      </c>
      <c r="C28" s="146" t="s">
        <v>331</v>
      </c>
      <c r="D28" s="146" t="s">
        <v>9</v>
      </c>
      <c r="E28" s="146" t="s">
        <v>38</v>
      </c>
      <c r="F28" s="146">
        <v>7033958498</v>
      </c>
      <c r="G28" s="147">
        <v>46784</v>
      </c>
      <c r="H28" s="146"/>
    </row>
    <row r="29" spans="2:8">
      <c r="B29" s="82">
        <v>19</v>
      </c>
      <c r="C29" s="146" t="s">
        <v>332</v>
      </c>
      <c r="D29" s="146" t="s">
        <v>9</v>
      </c>
      <c r="E29" s="146" t="s">
        <v>10</v>
      </c>
      <c r="F29" s="146">
        <v>8030437159</v>
      </c>
      <c r="G29" s="147">
        <v>40940</v>
      </c>
      <c r="H29" s="146" t="s">
        <v>308</v>
      </c>
    </row>
    <row r="30" spans="2:8">
      <c r="B30" s="82">
        <v>20</v>
      </c>
      <c r="C30" s="146" t="s">
        <v>333</v>
      </c>
      <c r="D30" s="146"/>
      <c r="E30" s="146" t="s">
        <v>31</v>
      </c>
      <c r="F30" s="146">
        <v>8062501885</v>
      </c>
      <c r="G30" s="147">
        <v>45689</v>
      </c>
      <c r="H30" s="146" t="s">
        <v>330</v>
      </c>
    </row>
    <row r="31" spans="2:8">
      <c r="B31" s="82">
        <v>21</v>
      </c>
      <c r="C31" s="146" t="s">
        <v>334</v>
      </c>
      <c r="D31" s="146" t="s">
        <v>9</v>
      </c>
      <c r="E31" s="146" t="s">
        <v>16</v>
      </c>
      <c r="F31" s="146"/>
      <c r="G31" s="147">
        <v>38384</v>
      </c>
      <c r="H31" s="146"/>
    </row>
    <row r="32" spans="2:8">
      <c r="B32" s="82">
        <v>22</v>
      </c>
      <c r="C32" s="146" t="s">
        <v>335</v>
      </c>
      <c r="D32" s="146" t="s">
        <v>12</v>
      </c>
      <c r="E32" s="146" t="s">
        <v>45</v>
      </c>
      <c r="F32" s="146">
        <v>8071865089</v>
      </c>
      <c r="G32" s="147">
        <v>40575</v>
      </c>
      <c r="H32" s="146" t="s">
        <v>336</v>
      </c>
    </row>
    <row r="33" spans="2:8">
      <c r="B33" s="82">
        <v>23</v>
      </c>
      <c r="C33" s="146" t="s">
        <v>337</v>
      </c>
      <c r="D33" s="146" t="s">
        <v>9</v>
      </c>
      <c r="E33" s="146" t="s">
        <v>71</v>
      </c>
      <c r="F33" s="146">
        <v>8036887477</v>
      </c>
      <c r="G33" s="147">
        <v>36923</v>
      </c>
      <c r="H33" s="146"/>
    </row>
    <row r="34" spans="2:8">
      <c r="B34" s="82">
        <v>24</v>
      </c>
      <c r="C34" s="146" t="s">
        <v>338</v>
      </c>
      <c r="D34" s="146" t="s">
        <v>12</v>
      </c>
      <c r="E34" s="146" t="s">
        <v>16</v>
      </c>
      <c r="F34" s="146"/>
      <c r="G34" s="147">
        <v>42767</v>
      </c>
      <c r="H34" s="146"/>
    </row>
    <row r="35" spans="2:8">
      <c r="B35" s="82">
        <v>25</v>
      </c>
      <c r="C35" s="146" t="s">
        <v>339</v>
      </c>
      <c r="D35" s="146" t="s">
        <v>12</v>
      </c>
      <c r="E35" s="146" t="s">
        <v>113</v>
      </c>
      <c r="F35" s="146">
        <v>7060171206</v>
      </c>
      <c r="G35" s="146"/>
      <c r="H35" s="146"/>
    </row>
    <row r="36" spans="2:8">
      <c r="B36" s="82" t="s">
        <v>51</v>
      </c>
      <c r="C36" s="146" t="s">
        <v>340</v>
      </c>
      <c r="D36" s="146" t="s">
        <v>12</v>
      </c>
      <c r="E36" s="146" t="s">
        <v>96</v>
      </c>
      <c r="F36" s="146">
        <v>8130561055</v>
      </c>
      <c r="G36" s="147">
        <v>42036</v>
      </c>
      <c r="H36" s="146" t="s">
        <v>341</v>
      </c>
    </row>
    <row r="37" spans="2:8">
      <c r="B37" s="82">
        <v>27</v>
      </c>
      <c r="C37" s="146" t="s">
        <v>342</v>
      </c>
      <c r="D37" s="146" t="s">
        <v>12</v>
      </c>
      <c r="E37" s="146" t="s">
        <v>218</v>
      </c>
      <c r="F37" s="146">
        <v>7063091042</v>
      </c>
      <c r="G37" s="147">
        <v>37653</v>
      </c>
      <c r="H37" s="146"/>
    </row>
    <row r="38" spans="2:8">
      <c r="B38" s="82" t="s">
        <v>55</v>
      </c>
      <c r="C38" s="146" t="s">
        <v>343</v>
      </c>
      <c r="D38" s="146" t="s">
        <v>12</v>
      </c>
      <c r="E38" s="146" t="s">
        <v>38</v>
      </c>
      <c r="F38" s="146">
        <v>8069844969</v>
      </c>
      <c r="G38" s="147">
        <v>39114</v>
      </c>
      <c r="H38" s="146"/>
    </row>
    <row r="39" spans="2:8">
      <c r="B39" s="82">
        <v>29</v>
      </c>
      <c r="C39" s="146" t="s">
        <v>344</v>
      </c>
      <c r="D39" s="146" t="s">
        <v>12</v>
      </c>
      <c r="E39" s="146" t="s">
        <v>75</v>
      </c>
      <c r="F39" s="146">
        <v>8072104992</v>
      </c>
      <c r="G39" s="147">
        <v>45323</v>
      </c>
      <c r="H39" s="146" t="s">
        <v>345</v>
      </c>
    </row>
    <row r="40" spans="2:8">
      <c r="B40" s="82" t="s">
        <v>59</v>
      </c>
      <c r="C40" s="146" t="s">
        <v>346</v>
      </c>
      <c r="D40" s="146" t="s">
        <v>12</v>
      </c>
      <c r="E40" s="146" t="s">
        <v>19</v>
      </c>
      <c r="F40" s="146">
        <v>8064405504</v>
      </c>
      <c r="G40" s="147">
        <v>46419</v>
      </c>
      <c r="H40" s="146"/>
    </row>
    <row r="41" spans="2:8">
      <c r="B41" s="82">
        <v>31</v>
      </c>
      <c r="C41" s="146" t="s">
        <v>347</v>
      </c>
      <c r="D41" s="146" t="s">
        <v>12</v>
      </c>
      <c r="E41" s="146" t="s">
        <v>43</v>
      </c>
      <c r="F41" s="146">
        <v>7058031850</v>
      </c>
      <c r="G41" s="147">
        <v>37653</v>
      </c>
      <c r="H41" s="146"/>
    </row>
    <row r="42" spans="2:8">
      <c r="B42" s="82">
        <v>32</v>
      </c>
      <c r="C42" s="146" t="s">
        <v>348</v>
      </c>
      <c r="D42" s="146" t="s">
        <v>12</v>
      </c>
      <c r="E42" s="146" t="s">
        <v>77</v>
      </c>
      <c r="F42" s="146">
        <v>8034207934</v>
      </c>
      <c r="G42" s="147">
        <v>38018</v>
      </c>
      <c r="H42" s="146"/>
    </row>
    <row r="43" spans="2:8">
      <c r="B43" s="82" t="s">
        <v>65</v>
      </c>
      <c r="C43" s="146" t="s">
        <v>349</v>
      </c>
      <c r="D43" s="146" t="s">
        <v>12</v>
      </c>
      <c r="E43" s="146" t="s">
        <v>33</v>
      </c>
      <c r="F43" s="146">
        <v>7064333408</v>
      </c>
      <c r="G43" s="147">
        <v>46054</v>
      </c>
      <c r="H43" s="146" t="s">
        <v>350</v>
      </c>
    </row>
    <row r="44" spans="2:8">
      <c r="B44" s="82" t="s">
        <v>67</v>
      </c>
      <c r="C44" s="146" t="s">
        <v>351</v>
      </c>
      <c r="D44" s="146" t="s">
        <v>12</v>
      </c>
      <c r="E44" s="146" t="s">
        <v>45</v>
      </c>
      <c r="F44" s="146">
        <v>7064522412</v>
      </c>
      <c r="G44" s="147">
        <v>37288</v>
      </c>
      <c r="H44" s="146"/>
    </row>
    <row r="45" spans="2:8">
      <c r="B45" s="82" t="s">
        <v>69</v>
      </c>
      <c r="C45" s="146" t="s">
        <v>352</v>
      </c>
      <c r="D45" s="146" t="s">
        <v>12</v>
      </c>
      <c r="E45" s="146" t="s">
        <v>10</v>
      </c>
      <c r="F45" s="146">
        <v>8139470481</v>
      </c>
      <c r="G45" s="147">
        <v>46419</v>
      </c>
      <c r="H45" s="146" t="s">
        <v>330</v>
      </c>
    </row>
    <row r="46" spans="2:8">
      <c r="B46" s="82" t="s">
        <v>72</v>
      </c>
      <c r="C46" s="146" t="s">
        <v>353</v>
      </c>
      <c r="D46" s="146" t="s">
        <v>12</v>
      </c>
      <c r="E46" s="146" t="s">
        <v>75</v>
      </c>
      <c r="F46" s="146">
        <v>7058844561</v>
      </c>
      <c r="G46" s="147">
        <v>43862</v>
      </c>
      <c r="H46" s="146" t="s">
        <v>354</v>
      </c>
    </row>
    <row r="47" spans="2:8">
      <c r="B47" s="82">
        <v>37</v>
      </c>
      <c r="C47" s="146" t="s">
        <v>355</v>
      </c>
      <c r="D47" s="146" t="s">
        <v>12</v>
      </c>
      <c r="E47" s="146" t="s">
        <v>113</v>
      </c>
      <c r="F47" s="146">
        <v>8039473852</v>
      </c>
      <c r="G47" s="147">
        <v>38384</v>
      </c>
      <c r="H47" s="146"/>
    </row>
    <row r="48" spans="2:8">
      <c r="B48" s="82">
        <v>38</v>
      </c>
      <c r="C48" s="146" t="s">
        <v>356</v>
      </c>
      <c r="D48" s="146" t="s">
        <v>12</v>
      </c>
      <c r="E48" s="146" t="s">
        <v>45</v>
      </c>
      <c r="F48" s="146">
        <v>7039718700</v>
      </c>
      <c r="G48" s="147">
        <v>37288</v>
      </c>
      <c r="H48" s="146"/>
    </row>
    <row r="49" spans="2:8">
      <c r="B49" s="82" t="s">
        <v>78</v>
      </c>
      <c r="C49" s="146" t="s">
        <v>357</v>
      </c>
      <c r="D49" s="146" t="s">
        <v>9</v>
      </c>
      <c r="E49" s="146" t="s">
        <v>158</v>
      </c>
      <c r="F49" s="146">
        <v>7030718777</v>
      </c>
      <c r="G49" s="147">
        <v>43525</v>
      </c>
      <c r="H49" s="146" t="s">
        <v>358</v>
      </c>
    </row>
    <row r="50" spans="2:8">
      <c r="B50" s="82">
        <v>40</v>
      </c>
      <c r="C50" s="146" t="s">
        <v>359</v>
      </c>
      <c r="D50" s="146" t="s">
        <v>12</v>
      </c>
      <c r="E50" s="146" t="s">
        <v>45</v>
      </c>
      <c r="F50" s="146">
        <v>8068487147</v>
      </c>
      <c r="G50" s="147">
        <v>11383</v>
      </c>
      <c r="H50" s="146" t="s">
        <v>308</v>
      </c>
    </row>
    <row r="51" spans="2:8">
      <c r="B51" s="82" t="s">
        <v>81</v>
      </c>
      <c r="C51" s="146" t="s">
        <v>360</v>
      </c>
      <c r="D51" s="146" t="s">
        <v>12</v>
      </c>
      <c r="E51" s="146" t="s">
        <v>10</v>
      </c>
      <c r="F51" s="146">
        <v>8024247489</v>
      </c>
      <c r="G51" s="147">
        <v>36951</v>
      </c>
      <c r="H51" s="146"/>
    </row>
    <row r="52" spans="2:8">
      <c r="B52" s="82" t="s">
        <v>83</v>
      </c>
      <c r="C52" s="146" t="s">
        <v>361</v>
      </c>
      <c r="D52" s="146" t="s">
        <v>12</v>
      </c>
      <c r="E52" s="146" t="s">
        <v>45</v>
      </c>
      <c r="F52" s="146">
        <v>7030846493</v>
      </c>
      <c r="G52" s="147">
        <v>45352</v>
      </c>
      <c r="H52" s="146" t="s">
        <v>358</v>
      </c>
    </row>
    <row r="53" spans="2:8">
      <c r="B53" s="82">
        <v>43</v>
      </c>
      <c r="C53" s="146" t="s">
        <v>362</v>
      </c>
      <c r="D53" s="146" t="s">
        <v>9</v>
      </c>
      <c r="E53" s="146" t="s">
        <v>49</v>
      </c>
      <c r="F53" s="146">
        <v>8059064300</v>
      </c>
      <c r="G53" s="147">
        <v>44986</v>
      </c>
      <c r="H53" s="146" t="s">
        <v>363</v>
      </c>
    </row>
    <row r="54" spans="2:8">
      <c r="B54" s="82" t="s">
        <v>86</v>
      </c>
      <c r="C54" s="146" t="s">
        <v>364</v>
      </c>
      <c r="D54" s="146" t="s">
        <v>12</v>
      </c>
      <c r="E54" s="146"/>
      <c r="F54" s="146"/>
      <c r="G54" s="147">
        <v>43891</v>
      </c>
      <c r="H54" s="146"/>
    </row>
    <row r="55" spans="2:8">
      <c r="B55" s="82" t="s">
        <v>88</v>
      </c>
      <c r="C55" s="146" t="s">
        <v>365</v>
      </c>
      <c r="D55" s="146" t="s">
        <v>9</v>
      </c>
      <c r="E55" s="146" t="s">
        <v>38</v>
      </c>
      <c r="F55" s="146">
        <v>7032658866</v>
      </c>
      <c r="G55" s="147">
        <v>38047</v>
      </c>
      <c r="H55" s="146" t="s">
        <v>308</v>
      </c>
    </row>
    <row r="56" spans="2:8">
      <c r="B56" s="82" t="s">
        <v>90</v>
      </c>
      <c r="C56" s="146" t="s">
        <v>366</v>
      </c>
      <c r="D56" s="146" t="s">
        <v>12</v>
      </c>
      <c r="E56" s="146" t="s">
        <v>45</v>
      </c>
      <c r="F56" s="146">
        <v>8037980307</v>
      </c>
      <c r="G56" s="147">
        <v>41699</v>
      </c>
      <c r="H56" s="146"/>
    </row>
    <row r="57" spans="2:8">
      <c r="B57" s="82" t="s">
        <v>92</v>
      </c>
      <c r="C57" s="146" t="s">
        <v>367</v>
      </c>
      <c r="D57" s="146" t="s">
        <v>12</v>
      </c>
      <c r="E57" s="146" t="s">
        <v>158</v>
      </c>
      <c r="F57" s="146">
        <v>8067962158</v>
      </c>
      <c r="G57" s="147">
        <v>38412</v>
      </c>
      <c r="H57" s="148"/>
    </row>
    <row r="58" spans="2:8">
      <c r="B58" s="82" t="s">
        <v>94</v>
      </c>
      <c r="C58" s="146" t="s">
        <v>368</v>
      </c>
      <c r="D58" s="146" t="s">
        <v>12</v>
      </c>
      <c r="E58" s="146" t="s">
        <v>27</v>
      </c>
      <c r="F58" s="146">
        <v>7035272506</v>
      </c>
      <c r="G58" s="147">
        <v>38777</v>
      </c>
      <c r="H58" s="146"/>
    </row>
    <row r="59" spans="2:8">
      <c r="B59" s="82" t="s">
        <v>97</v>
      </c>
      <c r="C59" s="146" t="s">
        <v>369</v>
      </c>
      <c r="D59" s="146" t="s">
        <v>12</v>
      </c>
      <c r="E59" s="146" t="s">
        <v>16</v>
      </c>
      <c r="F59" s="146">
        <v>7033282447</v>
      </c>
      <c r="G59" s="147">
        <v>40238</v>
      </c>
      <c r="H59" s="146" t="s">
        <v>330</v>
      </c>
    </row>
    <row r="60" spans="2:8">
      <c r="B60" s="82" t="s">
        <v>100</v>
      </c>
      <c r="C60" s="146" t="s">
        <v>370</v>
      </c>
      <c r="D60" s="146" t="s">
        <v>12</v>
      </c>
      <c r="E60" s="146" t="s">
        <v>118</v>
      </c>
      <c r="F60" s="146">
        <v>8022509228</v>
      </c>
      <c r="G60" s="147">
        <v>41699</v>
      </c>
      <c r="H60" s="146"/>
    </row>
    <row r="61" spans="2:8">
      <c r="B61" s="82" t="s">
        <v>102</v>
      </c>
      <c r="C61" s="146" t="s">
        <v>371</v>
      </c>
      <c r="D61" s="146" t="s">
        <v>12</v>
      </c>
      <c r="E61" s="146" t="s">
        <v>99</v>
      </c>
      <c r="F61" s="146">
        <v>8068493058</v>
      </c>
      <c r="G61" s="147">
        <v>42795</v>
      </c>
      <c r="H61" s="146" t="s">
        <v>325</v>
      </c>
    </row>
    <row r="62" spans="2:8">
      <c r="B62" s="82">
        <v>52</v>
      </c>
      <c r="C62" s="146" t="s">
        <v>372</v>
      </c>
      <c r="D62" s="146" t="s">
        <v>9</v>
      </c>
      <c r="E62" s="146" t="s">
        <v>218</v>
      </c>
      <c r="F62" s="146">
        <v>8063227510</v>
      </c>
      <c r="G62" s="147">
        <v>44621</v>
      </c>
      <c r="H62" s="146"/>
    </row>
    <row r="63" spans="2:8">
      <c r="B63" s="82" t="s">
        <v>105</v>
      </c>
      <c r="C63" s="146" t="s">
        <v>373</v>
      </c>
      <c r="D63" s="146" t="s">
        <v>9</v>
      </c>
      <c r="E63" s="146" t="s">
        <v>218</v>
      </c>
      <c r="F63" s="146">
        <v>8032427066</v>
      </c>
      <c r="G63" s="147">
        <v>36951</v>
      </c>
      <c r="H63" s="146"/>
    </row>
    <row r="64" spans="2:8">
      <c r="B64" s="82">
        <v>54</v>
      </c>
      <c r="C64" s="146" t="s">
        <v>374</v>
      </c>
      <c r="D64" s="146" t="s">
        <v>12</v>
      </c>
      <c r="E64" s="146" t="s">
        <v>10</v>
      </c>
      <c r="F64" s="146">
        <v>8067619381</v>
      </c>
      <c r="G64" s="147">
        <v>42795</v>
      </c>
      <c r="H64" s="146" t="s">
        <v>325</v>
      </c>
    </row>
    <row r="65" spans="2:8">
      <c r="B65" s="82">
        <v>55</v>
      </c>
      <c r="C65" s="146" t="s">
        <v>375</v>
      </c>
      <c r="D65" s="146" t="s">
        <v>12</v>
      </c>
      <c r="E65" s="146" t="s">
        <v>317</v>
      </c>
      <c r="F65" s="146">
        <v>8060402418</v>
      </c>
      <c r="G65" s="147">
        <v>36951</v>
      </c>
      <c r="H65" s="146" t="s">
        <v>319</v>
      </c>
    </row>
    <row r="66" spans="2:8">
      <c r="B66" s="82">
        <v>56</v>
      </c>
      <c r="C66" s="146" t="s">
        <v>376</v>
      </c>
      <c r="D66" s="146" t="s">
        <v>12</v>
      </c>
      <c r="E66" s="146" t="s">
        <v>144</v>
      </c>
      <c r="F66" s="146">
        <v>8164050474</v>
      </c>
      <c r="G66" s="147">
        <v>44621</v>
      </c>
      <c r="H66" s="146" t="s">
        <v>312</v>
      </c>
    </row>
    <row r="67" spans="2:8">
      <c r="B67" s="82">
        <v>57</v>
      </c>
      <c r="C67" s="146" t="s">
        <v>377</v>
      </c>
      <c r="D67" s="146" t="s">
        <v>12</v>
      </c>
      <c r="E67" s="146" t="s">
        <v>317</v>
      </c>
      <c r="F67" s="146">
        <v>8094504798</v>
      </c>
      <c r="G67" s="147">
        <v>46113</v>
      </c>
      <c r="H67" s="146" t="s">
        <v>330</v>
      </c>
    </row>
    <row r="68" spans="2:8">
      <c r="B68" s="82">
        <v>58</v>
      </c>
      <c r="C68" s="146" t="s">
        <v>378</v>
      </c>
      <c r="D68" s="146" t="s">
        <v>12</v>
      </c>
      <c r="E68" s="146" t="s">
        <v>113</v>
      </c>
      <c r="F68" s="146"/>
      <c r="G68" s="147">
        <v>44287</v>
      </c>
      <c r="H68" s="146"/>
    </row>
    <row r="69" spans="2:8">
      <c r="B69" s="82">
        <v>59</v>
      </c>
      <c r="C69" s="146" t="s">
        <v>379</v>
      </c>
      <c r="D69" s="146" t="s">
        <v>12</v>
      </c>
      <c r="E69" s="146" t="s">
        <v>43</v>
      </c>
      <c r="F69" s="146">
        <v>8022081172</v>
      </c>
      <c r="G69" s="147">
        <v>41365</v>
      </c>
      <c r="H69" s="146"/>
    </row>
    <row r="70" spans="2:8">
      <c r="B70" s="82">
        <v>60</v>
      </c>
      <c r="C70" s="146" t="s">
        <v>380</v>
      </c>
      <c r="D70" s="146" t="s">
        <v>12</v>
      </c>
      <c r="E70" s="146" t="s">
        <v>53</v>
      </c>
      <c r="F70" s="146">
        <v>7067812806</v>
      </c>
      <c r="G70" s="147">
        <v>41365</v>
      </c>
      <c r="H70" s="146" t="s">
        <v>314</v>
      </c>
    </row>
    <row r="71" spans="2:8">
      <c r="B71" s="82">
        <v>61</v>
      </c>
      <c r="C71" s="146" t="s">
        <v>381</v>
      </c>
      <c r="D71" s="146" t="s">
        <v>9</v>
      </c>
      <c r="E71" s="146" t="s">
        <v>218</v>
      </c>
      <c r="F71" s="146">
        <v>8060880517</v>
      </c>
      <c r="G71" s="147">
        <v>43922</v>
      </c>
      <c r="H71" s="146" t="s">
        <v>312</v>
      </c>
    </row>
    <row r="72" spans="2:8">
      <c r="B72" s="82">
        <v>62</v>
      </c>
      <c r="C72" s="146" t="s">
        <v>382</v>
      </c>
      <c r="D72" s="146" t="s">
        <v>546</v>
      </c>
      <c r="E72" s="146" t="s">
        <v>31</v>
      </c>
      <c r="F72" s="146"/>
      <c r="G72" s="147">
        <v>43191</v>
      </c>
      <c r="H72" s="146"/>
    </row>
    <row r="73" spans="2:8">
      <c r="B73" s="82">
        <v>63</v>
      </c>
      <c r="C73" s="146" t="s">
        <v>378</v>
      </c>
      <c r="D73" s="146" t="s">
        <v>12</v>
      </c>
      <c r="E73" s="146" t="s">
        <v>113</v>
      </c>
      <c r="F73" s="146"/>
      <c r="G73" s="147">
        <v>44287</v>
      </c>
      <c r="H73" s="146" t="s">
        <v>314</v>
      </c>
    </row>
    <row r="74" spans="2:8">
      <c r="B74" s="82">
        <v>64</v>
      </c>
      <c r="C74" s="146" t="s">
        <v>383</v>
      </c>
      <c r="D74" s="146" t="s">
        <v>12</v>
      </c>
      <c r="E74" s="146" t="s">
        <v>10</v>
      </c>
      <c r="F74" s="146">
        <v>8062183637</v>
      </c>
      <c r="G74" s="147">
        <v>45017</v>
      </c>
      <c r="H74" s="146" t="s">
        <v>314</v>
      </c>
    </row>
    <row r="75" spans="2:8">
      <c r="B75" s="82" t="s">
        <v>120</v>
      </c>
      <c r="C75" s="146" t="s">
        <v>384</v>
      </c>
      <c r="D75" s="146" t="s">
        <v>12</v>
      </c>
      <c r="E75" s="146" t="s">
        <v>10</v>
      </c>
      <c r="F75" s="146">
        <v>8062183637</v>
      </c>
      <c r="G75" s="147">
        <v>45017</v>
      </c>
      <c r="H75" s="146" t="s">
        <v>314</v>
      </c>
    </row>
    <row r="76" spans="2:8">
      <c r="B76" s="82">
        <v>66</v>
      </c>
      <c r="C76" s="146" t="s">
        <v>385</v>
      </c>
      <c r="D76" s="146" t="s">
        <v>12</v>
      </c>
      <c r="E76" s="146" t="s">
        <v>27</v>
      </c>
      <c r="F76" s="146">
        <v>8067299390</v>
      </c>
      <c r="G76" s="147">
        <v>36982</v>
      </c>
      <c r="H76" s="146"/>
    </row>
    <row r="77" spans="2:8">
      <c r="B77" s="82">
        <v>67</v>
      </c>
      <c r="C77" s="146" t="s">
        <v>386</v>
      </c>
      <c r="D77" s="146" t="s">
        <v>12</v>
      </c>
      <c r="E77" s="146" t="s">
        <v>33</v>
      </c>
      <c r="F77" s="146">
        <v>7038608152</v>
      </c>
      <c r="G77" s="147">
        <v>45017</v>
      </c>
      <c r="H77" s="146"/>
    </row>
    <row r="78" spans="2:8">
      <c r="B78" s="82" t="s">
        <v>124</v>
      </c>
      <c r="C78" s="146" t="s">
        <v>387</v>
      </c>
      <c r="D78" s="146" t="s">
        <v>9</v>
      </c>
      <c r="E78" s="146" t="s">
        <v>16</v>
      </c>
      <c r="F78" s="146">
        <v>8068667441</v>
      </c>
      <c r="G78" s="147">
        <v>46478</v>
      </c>
      <c r="H78" s="146"/>
    </row>
    <row r="79" spans="2:8">
      <c r="B79" s="82" t="s">
        <v>126</v>
      </c>
      <c r="C79" s="146" t="s">
        <v>388</v>
      </c>
      <c r="D79" s="146"/>
      <c r="E79" s="146" t="s">
        <v>25</v>
      </c>
      <c r="F79" s="146">
        <v>7031175856</v>
      </c>
      <c r="G79" s="147">
        <v>40269</v>
      </c>
      <c r="H79" s="146"/>
    </row>
    <row r="80" spans="2:8">
      <c r="B80" s="82">
        <v>70</v>
      </c>
      <c r="C80" s="146" t="s">
        <v>389</v>
      </c>
      <c r="D80" s="146" t="s">
        <v>12</v>
      </c>
      <c r="E80" s="146" t="s">
        <v>19</v>
      </c>
      <c r="F80" s="146">
        <v>8066076918</v>
      </c>
      <c r="G80" s="147">
        <v>45748</v>
      </c>
      <c r="H80" s="146"/>
    </row>
    <row r="81" spans="2:8">
      <c r="B81" s="82" t="s">
        <v>129</v>
      </c>
      <c r="C81" s="146" t="s">
        <v>390</v>
      </c>
      <c r="D81" s="146" t="s">
        <v>12</v>
      </c>
      <c r="E81" s="146" t="s">
        <v>99</v>
      </c>
      <c r="F81" s="146">
        <v>8038385341</v>
      </c>
      <c r="G81" s="147">
        <v>45748</v>
      </c>
      <c r="H81" s="146" t="s">
        <v>391</v>
      </c>
    </row>
    <row r="82" spans="2:8">
      <c r="B82" s="82">
        <v>72</v>
      </c>
      <c r="C82" s="146" t="s">
        <v>392</v>
      </c>
      <c r="D82" s="146" t="s">
        <v>12</v>
      </c>
      <c r="E82" s="146" t="s">
        <v>10</v>
      </c>
      <c r="F82" s="146">
        <v>8062654181</v>
      </c>
      <c r="G82" s="147">
        <v>36982</v>
      </c>
      <c r="H82" s="146" t="s">
        <v>393</v>
      </c>
    </row>
    <row r="83" spans="2:8">
      <c r="B83" s="82">
        <v>73</v>
      </c>
      <c r="C83" s="146" t="s">
        <v>394</v>
      </c>
      <c r="D83" s="146" t="s">
        <v>12</v>
      </c>
      <c r="E83" s="146" t="s">
        <v>10</v>
      </c>
      <c r="F83" s="146">
        <v>8066268467</v>
      </c>
      <c r="G83" s="147">
        <v>11049</v>
      </c>
      <c r="H83" s="146" t="s">
        <v>314</v>
      </c>
    </row>
    <row r="84" spans="2:8">
      <c r="B84" s="82">
        <v>74</v>
      </c>
      <c r="C84" s="146" t="s">
        <v>395</v>
      </c>
      <c r="D84" s="146" t="s">
        <v>12</v>
      </c>
      <c r="E84" s="146" t="s">
        <v>118</v>
      </c>
      <c r="F84" s="146">
        <v>8034023774</v>
      </c>
      <c r="G84" s="147">
        <v>39539</v>
      </c>
      <c r="H84" s="146" t="s">
        <v>314</v>
      </c>
    </row>
    <row r="85" spans="2:8">
      <c r="B85" s="82">
        <v>75</v>
      </c>
      <c r="C85" s="146" t="s">
        <v>396</v>
      </c>
      <c r="D85" s="146" t="s">
        <v>12</v>
      </c>
      <c r="E85" s="146" t="s">
        <v>10</v>
      </c>
      <c r="F85" s="146"/>
      <c r="G85" s="147">
        <v>46478</v>
      </c>
      <c r="H85" s="146" t="s">
        <v>330</v>
      </c>
    </row>
    <row r="86" spans="2:8">
      <c r="B86" s="82">
        <v>76</v>
      </c>
      <c r="C86" s="146" t="s">
        <v>397</v>
      </c>
      <c r="D86" s="146" t="s">
        <v>12</v>
      </c>
      <c r="E86" s="146" t="s">
        <v>21</v>
      </c>
      <c r="F86" s="146">
        <v>7065719553</v>
      </c>
      <c r="G86" s="147">
        <v>42461</v>
      </c>
      <c r="H86" s="146" t="s">
        <v>391</v>
      </c>
    </row>
    <row r="87" spans="2:8">
      <c r="B87" s="82">
        <v>77</v>
      </c>
      <c r="C87" s="146" t="s">
        <v>398</v>
      </c>
      <c r="D87" s="146" t="s">
        <v>12</v>
      </c>
      <c r="E87" s="146" t="s">
        <v>31</v>
      </c>
      <c r="F87" s="146"/>
      <c r="G87" s="147">
        <v>42461</v>
      </c>
      <c r="H87" s="146"/>
    </row>
    <row r="88" spans="2:8">
      <c r="B88" s="82">
        <v>78</v>
      </c>
      <c r="C88" s="146" t="s">
        <v>399</v>
      </c>
      <c r="D88" s="146" t="s">
        <v>12</v>
      </c>
      <c r="E88" s="146" t="s">
        <v>62</v>
      </c>
      <c r="F88" s="146">
        <v>8034317185</v>
      </c>
      <c r="G88" s="146"/>
      <c r="H88" s="146"/>
    </row>
    <row r="89" spans="2:8">
      <c r="B89" s="82">
        <v>79</v>
      </c>
      <c r="C89" s="146" t="s">
        <v>400</v>
      </c>
      <c r="D89" s="146" t="s">
        <v>12</v>
      </c>
      <c r="E89" s="146" t="s">
        <v>25</v>
      </c>
      <c r="F89" s="146">
        <v>7065949520</v>
      </c>
      <c r="G89" s="146"/>
      <c r="H89" s="146"/>
    </row>
    <row r="90" spans="2:8">
      <c r="B90" s="82">
        <v>80</v>
      </c>
      <c r="C90" s="146" t="s">
        <v>401</v>
      </c>
      <c r="D90" s="146" t="s">
        <v>12</v>
      </c>
      <c r="E90" s="146" t="s">
        <v>75</v>
      </c>
      <c r="F90" s="146">
        <v>7061103528</v>
      </c>
      <c r="G90" s="147">
        <v>46113</v>
      </c>
      <c r="H90" s="146"/>
    </row>
    <row r="91" spans="2:8">
      <c r="B91" s="82">
        <v>81</v>
      </c>
      <c r="C91" s="146" t="s">
        <v>402</v>
      </c>
      <c r="D91" s="146" t="s">
        <v>12</v>
      </c>
      <c r="E91" s="146" t="s">
        <v>43</v>
      </c>
      <c r="F91" s="146">
        <v>8038262865</v>
      </c>
      <c r="G91" s="147">
        <v>45017</v>
      </c>
      <c r="H91" s="146"/>
    </row>
    <row r="92" spans="2:8">
      <c r="B92" s="82">
        <v>82</v>
      </c>
      <c r="C92" s="146" t="s">
        <v>403</v>
      </c>
      <c r="D92" s="146" t="s">
        <v>9</v>
      </c>
      <c r="E92" s="146" t="s">
        <v>218</v>
      </c>
      <c r="F92" s="146">
        <v>8165670190</v>
      </c>
      <c r="G92" s="147">
        <v>39173</v>
      </c>
      <c r="H92" s="146"/>
    </row>
    <row r="93" spans="2:8">
      <c r="B93" s="82">
        <v>83</v>
      </c>
      <c r="C93" s="146" t="s">
        <v>404</v>
      </c>
      <c r="D93" s="146" t="s">
        <v>12</v>
      </c>
      <c r="E93" s="146" t="s">
        <v>45</v>
      </c>
      <c r="F93" s="146">
        <v>8084188475</v>
      </c>
      <c r="G93" s="147">
        <v>38078</v>
      </c>
      <c r="H93" s="146"/>
    </row>
    <row r="94" spans="2:8">
      <c r="B94" s="82">
        <v>84</v>
      </c>
      <c r="C94" s="146" t="s">
        <v>405</v>
      </c>
      <c r="D94" s="146" t="s">
        <v>9</v>
      </c>
      <c r="E94" s="146" t="s">
        <v>27</v>
      </c>
      <c r="F94" s="146">
        <v>8066317277</v>
      </c>
      <c r="G94" s="147">
        <v>43922</v>
      </c>
      <c r="H94" s="146"/>
    </row>
    <row r="95" spans="2:8">
      <c r="B95" s="82">
        <v>85</v>
      </c>
      <c r="C95" s="146" t="s">
        <v>406</v>
      </c>
      <c r="D95" s="146" t="s">
        <v>9</v>
      </c>
      <c r="E95" s="146" t="s">
        <v>62</v>
      </c>
      <c r="F95" s="146">
        <v>7066295281</v>
      </c>
      <c r="G95" s="147">
        <v>45047</v>
      </c>
      <c r="H95" s="146" t="s">
        <v>325</v>
      </c>
    </row>
    <row r="96" spans="2:8">
      <c r="B96" s="82">
        <v>86</v>
      </c>
      <c r="C96" s="146" t="s">
        <v>407</v>
      </c>
      <c r="D96" s="146" t="s">
        <v>12</v>
      </c>
      <c r="E96" s="146" t="s">
        <v>77</v>
      </c>
      <c r="F96" s="146">
        <v>8037461995</v>
      </c>
      <c r="G96" s="147">
        <v>45017</v>
      </c>
      <c r="H96" s="146" t="s">
        <v>308</v>
      </c>
    </row>
    <row r="97" spans="2:8">
      <c r="B97" s="82">
        <v>87</v>
      </c>
      <c r="C97" s="146" t="s">
        <v>408</v>
      </c>
      <c r="D97" s="146" t="s">
        <v>9</v>
      </c>
      <c r="E97" s="146" t="s">
        <v>16</v>
      </c>
      <c r="F97" s="146">
        <v>8062157537</v>
      </c>
      <c r="G97" s="147">
        <v>39203</v>
      </c>
      <c r="H97" s="146" t="s">
        <v>325</v>
      </c>
    </row>
    <row r="98" spans="2:8">
      <c r="B98" s="82">
        <v>88</v>
      </c>
      <c r="C98" s="146" t="s">
        <v>409</v>
      </c>
      <c r="D98" s="146" t="s">
        <v>12</v>
      </c>
      <c r="E98" s="146" t="s">
        <v>16</v>
      </c>
      <c r="F98" s="146">
        <v>8068939165</v>
      </c>
      <c r="G98" s="147">
        <v>41760</v>
      </c>
      <c r="H98" s="146" t="s">
        <v>312</v>
      </c>
    </row>
    <row r="99" spans="2:8">
      <c r="B99" s="82">
        <v>89</v>
      </c>
      <c r="C99" s="146" t="s">
        <v>410</v>
      </c>
      <c r="D99" s="146"/>
      <c r="E99" s="146" t="s">
        <v>19</v>
      </c>
      <c r="F99" s="146">
        <v>7035739546</v>
      </c>
      <c r="G99" s="147">
        <v>41030</v>
      </c>
      <c r="H99" s="146"/>
    </row>
    <row r="100" spans="2:8">
      <c r="B100" s="82">
        <v>90</v>
      </c>
      <c r="C100" s="146" t="s">
        <v>411</v>
      </c>
      <c r="D100" s="146" t="s">
        <v>12</v>
      </c>
      <c r="E100" s="146" t="s">
        <v>77</v>
      </c>
      <c r="F100" s="146">
        <v>8186028964</v>
      </c>
      <c r="G100" s="147">
        <v>37742</v>
      </c>
      <c r="H100" s="146"/>
    </row>
    <row r="101" spans="2:8">
      <c r="B101" s="82">
        <v>91</v>
      </c>
      <c r="C101" s="146" t="s">
        <v>412</v>
      </c>
      <c r="D101" s="146" t="s">
        <v>12</v>
      </c>
      <c r="E101" s="146" t="s">
        <v>38</v>
      </c>
      <c r="F101" s="146">
        <v>8036854498</v>
      </c>
      <c r="G101" s="147">
        <v>42491</v>
      </c>
      <c r="H101" s="146"/>
    </row>
    <row r="102" spans="2:8">
      <c r="B102" s="82">
        <v>92</v>
      </c>
      <c r="C102" s="146" t="s">
        <v>413</v>
      </c>
      <c r="D102" s="146" t="s">
        <v>12</v>
      </c>
      <c r="E102" s="146" t="s">
        <v>77</v>
      </c>
      <c r="F102" s="146">
        <v>7062395683</v>
      </c>
      <c r="G102" s="147">
        <v>44317</v>
      </c>
      <c r="H102" s="146" t="s">
        <v>314</v>
      </c>
    </row>
    <row r="103" spans="2:8">
      <c r="B103" s="82">
        <v>93</v>
      </c>
      <c r="C103" s="146" t="s">
        <v>414</v>
      </c>
      <c r="D103" s="146"/>
      <c r="E103" s="146" t="s">
        <v>53</v>
      </c>
      <c r="F103" s="146">
        <v>8038467788</v>
      </c>
      <c r="G103" s="147">
        <v>45778</v>
      </c>
      <c r="H103" s="146"/>
    </row>
    <row r="104" spans="2:8">
      <c r="B104" s="82">
        <v>94</v>
      </c>
      <c r="C104" s="146" t="s">
        <v>415</v>
      </c>
      <c r="D104" s="146" t="s">
        <v>12</v>
      </c>
      <c r="E104" s="146" t="s">
        <v>45</v>
      </c>
      <c r="F104" s="146">
        <v>8034431523</v>
      </c>
      <c r="G104" s="147">
        <v>39203</v>
      </c>
      <c r="H104" s="146"/>
    </row>
    <row r="105" spans="2:8">
      <c r="B105" s="82">
        <v>95</v>
      </c>
      <c r="C105" s="146" t="s">
        <v>416</v>
      </c>
      <c r="D105" s="146" t="s">
        <v>12</v>
      </c>
      <c r="E105" s="146" t="s">
        <v>21</v>
      </c>
      <c r="F105" s="146">
        <v>8038329669</v>
      </c>
      <c r="G105" s="147">
        <v>43221</v>
      </c>
      <c r="H105" s="146"/>
    </row>
    <row r="106" spans="2:8">
      <c r="B106" s="82">
        <v>96</v>
      </c>
      <c r="C106" s="146" t="s">
        <v>417</v>
      </c>
      <c r="D106" s="146" t="s">
        <v>12</v>
      </c>
      <c r="E106" s="146" t="s">
        <v>10</v>
      </c>
      <c r="F106" s="146"/>
      <c r="G106" s="147">
        <v>38838</v>
      </c>
      <c r="H106" s="146"/>
    </row>
    <row r="107" spans="2:8">
      <c r="B107" s="82">
        <v>97</v>
      </c>
      <c r="C107" s="146" t="s">
        <v>418</v>
      </c>
      <c r="D107" s="146" t="s">
        <v>12</v>
      </c>
      <c r="E107" s="146" t="s">
        <v>33</v>
      </c>
      <c r="F107" s="146">
        <v>8024224261</v>
      </c>
      <c r="G107" s="147">
        <v>45047</v>
      </c>
      <c r="H107" s="146"/>
    </row>
    <row r="108" spans="2:8">
      <c r="B108" s="82">
        <v>98</v>
      </c>
      <c r="C108" s="146" t="s">
        <v>419</v>
      </c>
      <c r="D108" s="146" t="s">
        <v>12</v>
      </c>
      <c r="E108" s="146" t="s">
        <v>158</v>
      </c>
      <c r="F108" s="146">
        <v>8039379949</v>
      </c>
      <c r="G108" s="147">
        <v>37742</v>
      </c>
      <c r="H108" s="146" t="s">
        <v>548</v>
      </c>
    </row>
    <row r="109" spans="2:8">
      <c r="B109" s="82">
        <v>99</v>
      </c>
      <c r="C109" s="146" t="s">
        <v>421</v>
      </c>
      <c r="D109" s="146" t="s">
        <v>12</v>
      </c>
      <c r="E109" s="146" t="s">
        <v>77</v>
      </c>
      <c r="F109" s="146">
        <v>7039327291</v>
      </c>
      <c r="G109" s="147">
        <v>45413</v>
      </c>
      <c r="H109" s="146"/>
    </row>
    <row r="110" spans="2:8">
      <c r="B110" s="82">
        <v>100</v>
      </c>
      <c r="C110" s="146" t="s">
        <v>422</v>
      </c>
      <c r="D110" s="146" t="s">
        <v>9</v>
      </c>
      <c r="E110" s="146" t="s">
        <v>38</v>
      </c>
      <c r="F110" s="146">
        <v>8065831520</v>
      </c>
      <c r="G110" s="147">
        <v>46143</v>
      </c>
      <c r="H110" s="146" t="s">
        <v>325</v>
      </c>
    </row>
    <row r="111" spans="2:8">
      <c r="B111" s="82">
        <v>101</v>
      </c>
      <c r="C111" s="146" t="s">
        <v>423</v>
      </c>
      <c r="D111" s="146" t="s">
        <v>9</v>
      </c>
      <c r="E111" s="146" t="s">
        <v>38</v>
      </c>
      <c r="F111" s="146">
        <v>8066337070</v>
      </c>
      <c r="G111" s="147">
        <v>41395</v>
      </c>
      <c r="H111" s="146" t="s">
        <v>330</v>
      </c>
    </row>
    <row r="112" spans="2:8">
      <c r="B112" s="82">
        <v>102</v>
      </c>
      <c r="C112" s="146" t="s">
        <v>424</v>
      </c>
      <c r="D112" s="146" t="s">
        <v>12</v>
      </c>
      <c r="E112" s="146" t="s">
        <v>38</v>
      </c>
      <c r="F112" s="146">
        <v>8065372641</v>
      </c>
      <c r="G112" s="147">
        <v>47239</v>
      </c>
      <c r="H112" s="146"/>
    </row>
    <row r="113" spans="2:8">
      <c r="B113" s="82">
        <v>103</v>
      </c>
      <c r="C113" s="146" t="s">
        <v>425</v>
      </c>
      <c r="D113" s="146" t="s">
        <v>9</v>
      </c>
      <c r="E113" s="146" t="s">
        <v>64</v>
      </c>
      <c r="F113" s="146">
        <v>8073652284</v>
      </c>
      <c r="G113" s="147">
        <v>39965</v>
      </c>
      <c r="H113" s="146" t="s">
        <v>330</v>
      </c>
    </row>
    <row r="114" spans="2:8">
      <c r="B114" s="82">
        <v>104</v>
      </c>
      <c r="C114" s="146" t="s">
        <v>426</v>
      </c>
      <c r="D114" s="146" t="s">
        <v>12</v>
      </c>
      <c r="E114" s="146" t="s">
        <v>118</v>
      </c>
      <c r="F114" s="146">
        <v>7033349097</v>
      </c>
      <c r="G114" s="147">
        <v>41061</v>
      </c>
      <c r="H114" s="146" t="s">
        <v>308</v>
      </c>
    </row>
    <row r="115" spans="2:8">
      <c r="B115" s="82">
        <v>105</v>
      </c>
      <c r="C115" s="146" t="s">
        <v>427</v>
      </c>
      <c r="D115" s="146" t="s">
        <v>9</v>
      </c>
      <c r="E115" s="146" t="s">
        <v>10</v>
      </c>
      <c r="F115" s="146">
        <v>8077719601</v>
      </c>
      <c r="G115" s="147">
        <v>42522</v>
      </c>
      <c r="H115" s="146"/>
    </row>
    <row r="116" spans="2:8">
      <c r="B116" s="82">
        <v>106</v>
      </c>
      <c r="C116" s="146" t="s">
        <v>428</v>
      </c>
      <c r="D116" s="146" t="s">
        <v>12</v>
      </c>
      <c r="E116" s="146" t="s">
        <v>14</v>
      </c>
      <c r="F116" s="146">
        <v>7035669225</v>
      </c>
      <c r="G116" s="147">
        <v>39600</v>
      </c>
      <c r="H116" s="146"/>
    </row>
    <row r="117" spans="2:8">
      <c r="B117" s="82">
        <v>107</v>
      </c>
      <c r="C117" s="146" t="s">
        <v>429</v>
      </c>
      <c r="D117" s="146" t="s">
        <v>12</v>
      </c>
      <c r="E117" s="146" t="s">
        <v>144</v>
      </c>
      <c r="F117" s="146">
        <v>7068330308</v>
      </c>
      <c r="G117" s="147">
        <v>45444</v>
      </c>
      <c r="H117" s="146" t="s">
        <v>430</v>
      </c>
    </row>
    <row r="118" spans="2:8">
      <c r="B118" s="82">
        <v>108</v>
      </c>
      <c r="C118" s="146" t="s">
        <v>431</v>
      </c>
      <c r="D118" s="146" t="s">
        <v>9</v>
      </c>
      <c r="E118" s="146" t="s">
        <v>10</v>
      </c>
      <c r="F118" s="146">
        <v>8068506541</v>
      </c>
      <c r="G118" s="147">
        <v>43252</v>
      </c>
      <c r="H118" s="146" t="s">
        <v>358</v>
      </c>
    </row>
    <row r="119" spans="2:8">
      <c r="B119" s="82">
        <v>109</v>
      </c>
      <c r="C119" s="146" t="s">
        <v>432</v>
      </c>
      <c r="D119" s="146" t="s">
        <v>9</v>
      </c>
      <c r="E119" s="146" t="s">
        <v>16</v>
      </c>
      <c r="F119" s="146"/>
      <c r="G119" s="147">
        <v>38869</v>
      </c>
      <c r="H119" s="146"/>
    </row>
    <row r="120" spans="2:8">
      <c r="B120" s="82">
        <v>110</v>
      </c>
      <c r="C120" s="146" t="s">
        <v>433</v>
      </c>
      <c r="D120" s="146" t="s">
        <v>12</v>
      </c>
      <c r="E120" s="146" t="s">
        <v>75</v>
      </c>
      <c r="F120" s="146">
        <v>8065178065</v>
      </c>
      <c r="G120" s="147">
        <v>37408</v>
      </c>
      <c r="H120" s="146"/>
    </row>
    <row r="121" spans="2:8">
      <c r="B121" s="82">
        <v>111</v>
      </c>
      <c r="C121" s="146" t="s">
        <v>434</v>
      </c>
      <c r="D121" s="146" t="s">
        <v>12</v>
      </c>
      <c r="E121" s="146" t="s">
        <v>77</v>
      </c>
      <c r="F121" s="146">
        <v>7063011403</v>
      </c>
      <c r="G121" s="147">
        <v>45444</v>
      </c>
      <c r="H121" s="146" t="s">
        <v>308</v>
      </c>
    </row>
    <row r="122" spans="2:8">
      <c r="B122" s="82">
        <v>112</v>
      </c>
      <c r="C122" s="146" t="s">
        <v>435</v>
      </c>
      <c r="D122" s="146" t="s">
        <v>12</v>
      </c>
      <c r="E122" s="146" t="s">
        <v>71</v>
      </c>
      <c r="F122" s="146">
        <v>8063966884</v>
      </c>
      <c r="G122" s="147">
        <v>41061</v>
      </c>
      <c r="H122" s="146"/>
    </row>
    <row r="123" spans="2:8">
      <c r="B123" s="82">
        <v>113</v>
      </c>
      <c r="C123" s="146" t="s">
        <v>436</v>
      </c>
      <c r="D123" s="146" t="s">
        <v>12</v>
      </c>
      <c r="E123" s="146" t="s">
        <v>71</v>
      </c>
      <c r="F123" s="146">
        <v>8026141578</v>
      </c>
      <c r="G123" s="147">
        <v>41426</v>
      </c>
      <c r="H123" s="146"/>
    </row>
    <row r="124" spans="2:8">
      <c r="B124" s="82">
        <v>114</v>
      </c>
      <c r="C124" s="146" t="s">
        <v>437</v>
      </c>
      <c r="D124" s="146" t="s">
        <v>12</v>
      </c>
      <c r="E124" s="146" t="s">
        <v>10</v>
      </c>
      <c r="F124" s="146">
        <v>7034222857</v>
      </c>
      <c r="G124" s="147">
        <v>43983</v>
      </c>
      <c r="H124" s="146"/>
    </row>
    <row r="125" spans="2:8">
      <c r="B125" s="82">
        <v>115</v>
      </c>
      <c r="C125" s="146" t="s">
        <v>438</v>
      </c>
      <c r="D125" s="146" t="s">
        <v>12</v>
      </c>
      <c r="E125" s="146" t="s">
        <v>31</v>
      </c>
      <c r="F125" s="146">
        <v>8161887261</v>
      </c>
      <c r="G125" s="147">
        <v>42522</v>
      </c>
      <c r="H125" s="146"/>
    </row>
    <row r="126" spans="2:8">
      <c r="B126" s="82" t="s">
        <v>180</v>
      </c>
      <c r="C126" s="146" t="s">
        <v>439</v>
      </c>
      <c r="D126" s="146" t="s">
        <v>9</v>
      </c>
      <c r="E126" s="146" t="s">
        <v>25</v>
      </c>
      <c r="F126" s="146">
        <v>8050453232</v>
      </c>
      <c r="G126" s="147">
        <v>46539</v>
      </c>
      <c r="H126" s="146" t="s">
        <v>363</v>
      </c>
    </row>
    <row r="127" spans="2:8">
      <c r="B127" s="82" t="s">
        <v>182</v>
      </c>
      <c r="C127" s="146" t="s">
        <v>440</v>
      </c>
      <c r="D127" s="146" t="s">
        <v>12</v>
      </c>
      <c r="E127" s="146" t="s">
        <v>33</v>
      </c>
      <c r="F127" s="146">
        <v>8064929345</v>
      </c>
      <c r="G127" s="147">
        <v>46905</v>
      </c>
      <c r="H127" s="146"/>
    </row>
    <row r="128" spans="2:8">
      <c r="B128" s="82">
        <v>118</v>
      </c>
      <c r="C128" s="146" t="s">
        <v>441</v>
      </c>
      <c r="D128" s="146" t="s">
        <v>9</v>
      </c>
      <c r="E128" s="146" t="s">
        <v>75</v>
      </c>
      <c r="F128" s="146">
        <v>8132138693</v>
      </c>
      <c r="G128" s="147">
        <v>38504</v>
      </c>
      <c r="H128" s="146" t="s">
        <v>314</v>
      </c>
    </row>
    <row r="129" spans="2:8">
      <c r="B129" s="82">
        <v>119</v>
      </c>
      <c r="C129" s="146" t="s">
        <v>442</v>
      </c>
      <c r="D129" s="146" t="s">
        <v>12</v>
      </c>
      <c r="E129" s="146" t="s">
        <v>75</v>
      </c>
      <c r="F129" s="146">
        <v>8035922231</v>
      </c>
      <c r="G129" s="147">
        <v>43252</v>
      </c>
      <c r="H129" s="146"/>
    </row>
    <row r="130" spans="2:8">
      <c r="B130" s="82">
        <v>120</v>
      </c>
      <c r="C130" s="146" t="s">
        <v>443</v>
      </c>
      <c r="D130" s="146" t="s">
        <v>12</v>
      </c>
      <c r="E130" s="146" t="s">
        <v>25</v>
      </c>
      <c r="F130" s="146">
        <v>7033958234</v>
      </c>
      <c r="G130" s="147">
        <v>41061</v>
      </c>
      <c r="H130" s="146" t="s">
        <v>420</v>
      </c>
    </row>
    <row r="131" spans="2:8">
      <c r="B131" s="82">
        <v>121</v>
      </c>
      <c r="C131" s="146" t="s">
        <v>444</v>
      </c>
      <c r="D131" s="146" t="s">
        <v>9</v>
      </c>
      <c r="E131" s="146" t="s">
        <v>218</v>
      </c>
      <c r="F131" s="146">
        <v>7067803475</v>
      </c>
      <c r="G131" s="147">
        <v>40330</v>
      </c>
      <c r="H131" s="146" t="s">
        <v>445</v>
      </c>
    </row>
    <row r="132" spans="2:8">
      <c r="B132" s="82">
        <v>122</v>
      </c>
      <c r="C132" s="146" t="s">
        <v>446</v>
      </c>
      <c r="D132" s="146" t="s">
        <v>12</v>
      </c>
      <c r="E132" s="146" t="s">
        <v>158</v>
      </c>
      <c r="F132" s="146">
        <v>8063453847</v>
      </c>
      <c r="G132" s="147">
        <v>37408</v>
      </c>
      <c r="H132" s="146" t="s">
        <v>330</v>
      </c>
    </row>
    <row r="133" spans="2:8">
      <c r="B133" s="82">
        <v>123</v>
      </c>
      <c r="C133" s="146" t="s">
        <v>447</v>
      </c>
      <c r="D133" s="146" t="s">
        <v>12</v>
      </c>
      <c r="E133" s="146" t="s">
        <v>21</v>
      </c>
      <c r="F133" s="146">
        <v>8079440756</v>
      </c>
      <c r="G133" s="147">
        <v>38869</v>
      </c>
      <c r="H133" s="146" t="s">
        <v>430</v>
      </c>
    </row>
    <row r="134" spans="2:8">
      <c r="B134" s="82">
        <v>124</v>
      </c>
      <c r="C134" s="146" t="s">
        <v>448</v>
      </c>
      <c r="D134" s="146" t="s">
        <v>9</v>
      </c>
      <c r="E134" s="146" t="s">
        <v>19</v>
      </c>
      <c r="F134" s="146">
        <v>7038158986</v>
      </c>
      <c r="G134" s="147">
        <v>11140</v>
      </c>
      <c r="H134" s="146"/>
    </row>
    <row r="135" spans="2:8">
      <c r="B135" s="82">
        <v>125</v>
      </c>
      <c r="C135" s="146" t="s">
        <v>449</v>
      </c>
      <c r="D135" s="146" t="s">
        <v>12</v>
      </c>
      <c r="E135" s="146" t="s">
        <v>113</v>
      </c>
      <c r="F135" s="146">
        <v>8132364486</v>
      </c>
      <c r="G135" s="147">
        <v>44378</v>
      </c>
      <c r="H135" s="146"/>
    </row>
    <row r="136" spans="2:8">
      <c r="B136" s="82" t="s">
        <v>192</v>
      </c>
      <c r="C136" s="146" t="s">
        <v>450</v>
      </c>
      <c r="D136" s="146" t="s">
        <v>12</v>
      </c>
      <c r="E136" s="146" t="s">
        <v>144</v>
      </c>
      <c r="F136" s="146">
        <v>8028651802</v>
      </c>
      <c r="G136" s="147">
        <v>46204</v>
      </c>
      <c r="H136" s="146" t="s">
        <v>445</v>
      </c>
    </row>
    <row r="137" spans="2:8">
      <c r="B137" s="82" t="s">
        <v>194</v>
      </c>
      <c r="C137" s="146" t="s">
        <v>451</v>
      </c>
      <c r="D137" s="146" t="s">
        <v>12</v>
      </c>
      <c r="E137" s="146" t="s">
        <v>99</v>
      </c>
      <c r="F137" s="146">
        <v>7033321356</v>
      </c>
      <c r="G137" s="147">
        <v>39264</v>
      </c>
      <c r="H137" s="146" t="s">
        <v>330</v>
      </c>
    </row>
    <row r="138" spans="2:8">
      <c r="B138" s="82">
        <v>128</v>
      </c>
      <c r="C138" s="146" t="s">
        <v>452</v>
      </c>
      <c r="D138" s="146" t="s">
        <v>12</v>
      </c>
      <c r="E138" s="146" t="s">
        <v>19</v>
      </c>
      <c r="F138" s="146">
        <v>8068642309</v>
      </c>
      <c r="G138" s="147">
        <v>39264</v>
      </c>
      <c r="H138" s="146"/>
    </row>
    <row r="139" spans="2:8">
      <c r="B139" s="82">
        <v>129</v>
      </c>
      <c r="C139" s="146" t="s">
        <v>453</v>
      </c>
      <c r="D139" s="146" t="s">
        <v>12</v>
      </c>
      <c r="E139" s="146" t="s">
        <v>16</v>
      </c>
      <c r="F139" s="146">
        <v>8035207065</v>
      </c>
      <c r="G139" s="147">
        <v>39995</v>
      </c>
      <c r="H139" s="146"/>
    </row>
    <row r="140" spans="2:8">
      <c r="B140" s="82">
        <v>130</v>
      </c>
      <c r="C140" s="146" t="s">
        <v>454</v>
      </c>
      <c r="D140" s="146" t="s">
        <v>12</v>
      </c>
      <c r="E140" s="146" t="s">
        <v>113</v>
      </c>
      <c r="F140" s="146">
        <v>7033263774</v>
      </c>
      <c r="G140" s="147">
        <v>37073</v>
      </c>
      <c r="H140" s="146" t="s">
        <v>548</v>
      </c>
    </row>
    <row r="141" spans="2:8">
      <c r="B141" s="82">
        <v>131</v>
      </c>
      <c r="C141" s="146" t="s">
        <v>455</v>
      </c>
      <c r="D141" s="146" t="s">
        <v>12</v>
      </c>
      <c r="E141" s="146" t="s">
        <v>53</v>
      </c>
      <c r="F141" s="146">
        <v>8130567582</v>
      </c>
      <c r="G141" s="147">
        <v>11505</v>
      </c>
      <c r="H141" s="146"/>
    </row>
    <row r="142" spans="2:8">
      <c r="B142" s="82">
        <v>132</v>
      </c>
      <c r="C142" s="146" t="s">
        <v>456</v>
      </c>
      <c r="D142" s="146" t="s">
        <v>12</v>
      </c>
      <c r="E142" s="146" t="s">
        <v>62</v>
      </c>
      <c r="F142" s="146"/>
      <c r="G142" s="147">
        <v>42186</v>
      </c>
      <c r="H142" s="146" t="s">
        <v>314</v>
      </c>
    </row>
    <row r="143" spans="2:8">
      <c r="B143" s="82">
        <v>133</v>
      </c>
      <c r="C143" s="146" t="s">
        <v>457</v>
      </c>
      <c r="D143" s="146" t="s">
        <v>12</v>
      </c>
      <c r="E143" s="146" t="s">
        <v>25</v>
      </c>
      <c r="F143" s="146">
        <v>7036693296</v>
      </c>
      <c r="G143" s="147">
        <v>45108</v>
      </c>
      <c r="H143" s="146"/>
    </row>
    <row r="144" spans="2:8">
      <c r="B144" s="82">
        <v>134</v>
      </c>
      <c r="C144" s="146" t="s">
        <v>458</v>
      </c>
      <c r="D144" s="146" t="s">
        <v>12</v>
      </c>
      <c r="E144" s="146" t="s">
        <v>31</v>
      </c>
      <c r="F144" s="146">
        <v>8136321343</v>
      </c>
      <c r="G144" s="147">
        <v>42917</v>
      </c>
      <c r="H144" s="146" t="s">
        <v>358</v>
      </c>
    </row>
    <row r="145" spans="2:8">
      <c r="B145" s="82">
        <v>135</v>
      </c>
      <c r="C145" s="146" t="s">
        <v>459</v>
      </c>
      <c r="D145" s="146" t="s">
        <v>12</v>
      </c>
      <c r="E145" s="146" t="s">
        <v>62</v>
      </c>
      <c r="F145" s="146">
        <v>7036649090</v>
      </c>
      <c r="G145" s="147">
        <v>39264</v>
      </c>
      <c r="H145" s="146"/>
    </row>
    <row r="146" spans="2:8">
      <c r="B146" s="82">
        <v>136</v>
      </c>
      <c r="C146" s="146" t="s">
        <v>460</v>
      </c>
      <c r="D146" s="146" t="s">
        <v>12</v>
      </c>
      <c r="E146" s="146" t="s">
        <v>53</v>
      </c>
      <c r="F146" s="146">
        <v>8038467708</v>
      </c>
      <c r="G146" s="147">
        <v>45839</v>
      </c>
      <c r="H146" s="146"/>
    </row>
    <row r="147" spans="2:8">
      <c r="B147" s="82">
        <v>137</v>
      </c>
      <c r="C147" s="146" t="s">
        <v>461</v>
      </c>
      <c r="D147" s="146" t="s">
        <v>12</v>
      </c>
      <c r="E147" s="146" t="s">
        <v>10</v>
      </c>
      <c r="F147" s="146">
        <v>8060036319</v>
      </c>
      <c r="G147" s="147">
        <v>43647</v>
      </c>
      <c r="H147" s="146"/>
    </row>
    <row r="148" spans="2:8">
      <c r="B148" s="82">
        <v>138</v>
      </c>
      <c r="C148" s="146" t="s">
        <v>462</v>
      </c>
      <c r="D148" s="146" t="s">
        <v>9</v>
      </c>
      <c r="E148" s="146" t="s">
        <v>53</v>
      </c>
      <c r="F148" s="146">
        <v>8063259497</v>
      </c>
      <c r="G148" s="147">
        <v>45474</v>
      </c>
      <c r="H148" s="146" t="s">
        <v>341</v>
      </c>
    </row>
    <row r="149" spans="2:8">
      <c r="B149" s="82">
        <v>139</v>
      </c>
      <c r="C149" s="146" t="s">
        <v>463</v>
      </c>
      <c r="D149" s="146" t="s">
        <v>12</v>
      </c>
      <c r="E149" s="146" t="s">
        <v>113</v>
      </c>
      <c r="F149" s="146">
        <v>7030220877</v>
      </c>
      <c r="G149" s="147">
        <v>46204</v>
      </c>
      <c r="H149" s="146"/>
    </row>
    <row r="150" spans="2:8">
      <c r="B150" s="82">
        <v>140</v>
      </c>
      <c r="C150" s="146" t="s">
        <v>464</v>
      </c>
      <c r="D150" s="146" t="s">
        <v>12</v>
      </c>
      <c r="E150" s="146" t="s">
        <v>75</v>
      </c>
      <c r="F150" s="146">
        <v>7032022073</v>
      </c>
      <c r="G150" s="147">
        <v>45474</v>
      </c>
      <c r="H150" s="146" t="s">
        <v>314</v>
      </c>
    </row>
    <row r="151" spans="2:8">
      <c r="B151" s="82">
        <v>141</v>
      </c>
      <c r="C151" s="146" t="s">
        <v>465</v>
      </c>
      <c r="D151" s="146" t="s">
        <v>12</v>
      </c>
      <c r="E151" s="146" t="s">
        <v>144</v>
      </c>
      <c r="F151" s="146">
        <v>7062479114</v>
      </c>
      <c r="G151" s="147">
        <v>40360</v>
      </c>
      <c r="H151" s="146" t="s">
        <v>445</v>
      </c>
    </row>
    <row r="152" spans="2:8">
      <c r="B152" s="82">
        <v>142</v>
      </c>
      <c r="C152" s="146" t="s">
        <v>466</v>
      </c>
      <c r="D152" s="146" t="s">
        <v>12</v>
      </c>
      <c r="E152" s="146" t="s">
        <v>75</v>
      </c>
      <c r="F152" s="146">
        <v>8134986899</v>
      </c>
      <c r="G152" s="147">
        <v>44013</v>
      </c>
      <c r="H152" s="146" t="s">
        <v>330</v>
      </c>
    </row>
    <row r="153" spans="2:8">
      <c r="B153" s="82">
        <v>143</v>
      </c>
      <c r="C153" s="146" t="s">
        <v>467</v>
      </c>
      <c r="D153" s="146" t="s">
        <v>9</v>
      </c>
      <c r="E153" s="146" t="s">
        <v>99</v>
      </c>
      <c r="F153" s="146">
        <v>8061579151</v>
      </c>
      <c r="G153" s="147">
        <v>43647</v>
      </c>
      <c r="H153" s="146" t="s">
        <v>468</v>
      </c>
    </row>
    <row r="154" spans="2:8">
      <c r="B154" s="82">
        <v>144</v>
      </c>
      <c r="C154" s="146" t="s">
        <v>469</v>
      </c>
      <c r="D154" s="146" t="s">
        <v>9</v>
      </c>
      <c r="E154" s="146" t="s">
        <v>77</v>
      </c>
      <c r="F154" s="146">
        <v>8030853273</v>
      </c>
      <c r="G154" s="147">
        <v>44774</v>
      </c>
      <c r="H154" s="146" t="s">
        <v>330</v>
      </c>
    </row>
    <row r="155" spans="2:8">
      <c r="B155" s="82">
        <v>145</v>
      </c>
      <c r="C155" s="146" t="s">
        <v>470</v>
      </c>
      <c r="D155" s="146" t="s">
        <v>12</v>
      </c>
      <c r="E155" s="146" t="s">
        <v>27</v>
      </c>
      <c r="F155" s="146">
        <v>8068016848</v>
      </c>
      <c r="G155" s="147">
        <v>37834</v>
      </c>
      <c r="H155" s="146"/>
    </row>
    <row r="156" spans="2:8">
      <c r="B156" s="82">
        <v>146</v>
      </c>
      <c r="C156" s="146" t="s">
        <v>471</v>
      </c>
      <c r="D156" s="146" t="s">
        <v>9</v>
      </c>
      <c r="E156" s="146" t="s">
        <v>16</v>
      </c>
      <c r="F156" s="146">
        <v>8034554616</v>
      </c>
      <c r="G156" s="147">
        <v>43678</v>
      </c>
      <c r="H156" s="146" t="s">
        <v>548</v>
      </c>
    </row>
    <row r="157" spans="2:8">
      <c r="B157" s="82">
        <v>147</v>
      </c>
      <c r="C157" s="146" t="s">
        <v>472</v>
      </c>
      <c r="D157" s="146" t="s">
        <v>12</v>
      </c>
      <c r="E157" s="146" t="s">
        <v>71</v>
      </c>
      <c r="F157" s="146"/>
      <c r="G157" s="147">
        <v>42583</v>
      </c>
      <c r="H157" s="146"/>
    </row>
    <row r="158" spans="2:8">
      <c r="B158" s="82">
        <v>148</v>
      </c>
      <c r="C158" s="146" t="s">
        <v>473</v>
      </c>
      <c r="D158" s="146" t="s">
        <v>12</v>
      </c>
      <c r="E158" s="146" t="s">
        <v>71</v>
      </c>
      <c r="F158" s="146">
        <v>7032689004</v>
      </c>
      <c r="G158" s="147">
        <v>40391</v>
      </c>
      <c r="H158" s="146"/>
    </row>
    <row r="159" spans="2:8">
      <c r="B159" s="82">
        <v>149</v>
      </c>
      <c r="C159" s="146" t="s">
        <v>474</v>
      </c>
      <c r="D159" s="146" t="s">
        <v>12</v>
      </c>
      <c r="E159" s="146" t="s">
        <v>43</v>
      </c>
      <c r="F159" s="146">
        <v>8066379609</v>
      </c>
      <c r="G159" s="147">
        <v>38565</v>
      </c>
      <c r="H159" s="146" t="s">
        <v>468</v>
      </c>
    </row>
    <row r="160" spans="2:8">
      <c r="B160" s="82">
        <v>150</v>
      </c>
      <c r="C160" s="146" t="s">
        <v>475</v>
      </c>
      <c r="D160" s="146" t="s">
        <v>9</v>
      </c>
      <c r="E160" s="146" t="s">
        <v>38</v>
      </c>
      <c r="F160" s="146">
        <v>7032418541</v>
      </c>
      <c r="G160" s="147">
        <v>44409</v>
      </c>
      <c r="H160" s="146" t="s">
        <v>312</v>
      </c>
    </row>
    <row r="161" spans="2:8">
      <c r="B161" s="82">
        <v>151</v>
      </c>
      <c r="C161" s="146" t="s">
        <v>476</v>
      </c>
      <c r="D161" s="146" t="s">
        <v>9</v>
      </c>
      <c r="E161" s="146" t="s">
        <v>158</v>
      </c>
      <c r="F161" s="146">
        <v>7033584368</v>
      </c>
      <c r="G161" s="147">
        <v>43678</v>
      </c>
      <c r="H161" s="146" t="s">
        <v>308</v>
      </c>
    </row>
    <row r="162" spans="2:8">
      <c r="B162" s="82">
        <v>152</v>
      </c>
      <c r="C162" s="146" t="s">
        <v>477</v>
      </c>
      <c r="D162" s="146" t="s">
        <v>12</v>
      </c>
      <c r="E162" s="146" t="s">
        <v>33</v>
      </c>
      <c r="F162" s="146">
        <v>7026683774</v>
      </c>
      <c r="G162" s="147">
        <v>11536</v>
      </c>
      <c r="H162" s="146" t="s">
        <v>430</v>
      </c>
    </row>
    <row r="163" spans="2:8">
      <c r="B163" s="82">
        <v>153</v>
      </c>
      <c r="C163" s="146" t="s">
        <v>478</v>
      </c>
      <c r="D163" s="146" t="s">
        <v>547</v>
      </c>
      <c r="E163" s="146" t="s">
        <v>99</v>
      </c>
      <c r="F163" s="146">
        <v>8060601810</v>
      </c>
      <c r="G163" s="147">
        <v>39661</v>
      </c>
      <c r="H163" s="146"/>
    </row>
    <row r="164" spans="2:8">
      <c r="B164" s="82">
        <v>154</v>
      </c>
      <c r="C164" s="146" t="s">
        <v>479</v>
      </c>
      <c r="D164" s="146" t="s">
        <v>12</v>
      </c>
      <c r="E164" s="146" t="s">
        <v>71</v>
      </c>
      <c r="F164" s="146">
        <v>7069693226</v>
      </c>
      <c r="G164" s="147">
        <v>42583</v>
      </c>
      <c r="H164" s="146" t="s">
        <v>308</v>
      </c>
    </row>
    <row r="165" spans="2:8">
      <c r="B165" s="82">
        <v>155</v>
      </c>
      <c r="C165" s="146" t="s">
        <v>480</v>
      </c>
      <c r="D165" s="146" t="s">
        <v>12</v>
      </c>
      <c r="E165" s="146" t="s">
        <v>75</v>
      </c>
      <c r="F165" s="146">
        <v>8087654838</v>
      </c>
      <c r="G165" s="147">
        <v>40026</v>
      </c>
      <c r="H165" s="146"/>
    </row>
    <row r="166" spans="2:8">
      <c r="B166" s="82">
        <v>156</v>
      </c>
      <c r="C166" s="146" t="s">
        <v>481</v>
      </c>
      <c r="D166" s="146" t="s">
        <v>9</v>
      </c>
      <c r="E166" s="146" t="s">
        <v>25</v>
      </c>
      <c r="F166" s="146">
        <v>8032151854</v>
      </c>
      <c r="G166" s="147">
        <v>40756</v>
      </c>
      <c r="H166" s="146"/>
    </row>
    <row r="167" spans="2:8">
      <c r="B167" s="82">
        <v>157</v>
      </c>
      <c r="C167" s="146" t="s">
        <v>482</v>
      </c>
      <c r="D167" s="146" t="s">
        <v>9</v>
      </c>
      <c r="E167" s="146" t="s">
        <v>29</v>
      </c>
      <c r="F167" s="146">
        <v>8080706528</v>
      </c>
      <c r="G167" s="147">
        <v>37865</v>
      </c>
      <c r="H167" s="146" t="s">
        <v>330</v>
      </c>
    </row>
    <row r="168" spans="2:8">
      <c r="B168" s="82">
        <v>158</v>
      </c>
      <c r="C168" s="146" t="s">
        <v>483</v>
      </c>
      <c r="D168" s="146" t="s">
        <v>12</v>
      </c>
      <c r="E168" s="146" t="s">
        <v>25</v>
      </c>
      <c r="F168" s="146"/>
      <c r="G168" s="147">
        <v>42979</v>
      </c>
      <c r="H168" s="146"/>
    </row>
    <row r="169" spans="2:8">
      <c r="B169" s="82">
        <v>159</v>
      </c>
      <c r="C169" s="146" t="s">
        <v>484</v>
      </c>
      <c r="D169" s="146" t="s">
        <v>12</v>
      </c>
      <c r="E169" s="146" t="s">
        <v>16</v>
      </c>
      <c r="F169" s="146">
        <v>7030838655</v>
      </c>
      <c r="G169" s="147">
        <v>42979</v>
      </c>
      <c r="H169" s="146"/>
    </row>
    <row r="170" spans="2:8">
      <c r="B170" s="82">
        <v>160</v>
      </c>
      <c r="C170" s="146" t="s">
        <v>485</v>
      </c>
      <c r="D170" s="146" t="s">
        <v>9</v>
      </c>
      <c r="E170" s="146" t="s">
        <v>19</v>
      </c>
      <c r="F170" s="146">
        <v>7031857895</v>
      </c>
      <c r="G170" s="147">
        <v>41518</v>
      </c>
      <c r="H170" s="146"/>
    </row>
    <row r="171" spans="2:8">
      <c r="B171" s="82">
        <v>160</v>
      </c>
      <c r="C171" s="146" t="s">
        <v>486</v>
      </c>
      <c r="D171" s="146" t="s">
        <v>9</v>
      </c>
      <c r="E171" s="146" t="s">
        <v>10</v>
      </c>
      <c r="F171" s="146">
        <v>7038319479</v>
      </c>
      <c r="G171" s="147">
        <v>39692</v>
      </c>
      <c r="H171" s="146" t="s">
        <v>308</v>
      </c>
    </row>
    <row r="172" spans="2:8">
      <c r="B172" s="82">
        <v>161</v>
      </c>
      <c r="C172" s="146" t="s">
        <v>487</v>
      </c>
      <c r="D172" s="146" t="s">
        <v>12</v>
      </c>
      <c r="E172" s="146" t="s">
        <v>218</v>
      </c>
      <c r="F172" s="146">
        <v>8036537715</v>
      </c>
      <c r="G172" s="147">
        <v>37865</v>
      </c>
      <c r="H172" s="146" t="s">
        <v>308</v>
      </c>
    </row>
    <row r="173" spans="2:8">
      <c r="B173" s="82">
        <v>162</v>
      </c>
      <c r="C173" s="146" t="s">
        <v>488</v>
      </c>
      <c r="D173" s="146" t="s">
        <v>12</v>
      </c>
      <c r="E173" s="146" t="s">
        <v>43</v>
      </c>
      <c r="F173" s="146">
        <v>8039559165</v>
      </c>
      <c r="G173" s="147">
        <v>38961</v>
      </c>
      <c r="H173" s="146"/>
    </row>
    <row r="174" spans="2:8">
      <c r="B174" s="82">
        <v>163</v>
      </c>
      <c r="C174" s="146" t="s">
        <v>489</v>
      </c>
      <c r="D174" s="146" t="s">
        <v>12</v>
      </c>
      <c r="E174" s="146" t="s">
        <v>53</v>
      </c>
      <c r="F174" s="146">
        <v>7062395810</v>
      </c>
      <c r="G174" s="147">
        <v>46631</v>
      </c>
      <c r="H174" s="146"/>
    </row>
    <row r="175" spans="2:8">
      <c r="B175" s="82">
        <v>164</v>
      </c>
      <c r="C175" s="146" t="s">
        <v>490</v>
      </c>
      <c r="D175" s="146" t="s">
        <v>12</v>
      </c>
      <c r="E175" s="146" t="s">
        <v>53</v>
      </c>
      <c r="F175" s="146">
        <v>8065864435</v>
      </c>
      <c r="G175" s="147">
        <v>45901</v>
      </c>
      <c r="H175" s="146" t="s">
        <v>336</v>
      </c>
    </row>
    <row r="176" spans="2:8">
      <c r="B176" s="82">
        <v>165</v>
      </c>
      <c r="C176" s="146" t="s">
        <v>491</v>
      </c>
      <c r="D176" s="146" t="s">
        <v>12</v>
      </c>
      <c r="E176" s="146" t="s">
        <v>75</v>
      </c>
      <c r="F176" s="146">
        <v>7055364584</v>
      </c>
      <c r="G176" s="147">
        <v>37865</v>
      </c>
      <c r="H176" s="146"/>
    </row>
    <row r="177" spans="2:8">
      <c r="B177" s="82">
        <v>166</v>
      </c>
      <c r="C177" s="146" t="s">
        <v>492</v>
      </c>
      <c r="D177" s="146" t="s">
        <v>12</v>
      </c>
      <c r="E177" s="146" t="s">
        <v>62</v>
      </c>
      <c r="F177" s="146">
        <v>8086940881</v>
      </c>
      <c r="G177" s="147">
        <v>43709</v>
      </c>
      <c r="H177" s="146" t="s">
        <v>330</v>
      </c>
    </row>
    <row r="178" spans="2:8">
      <c r="B178" s="82">
        <v>167</v>
      </c>
      <c r="C178" s="146" t="s">
        <v>493</v>
      </c>
      <c r="D178" s="146" t="s">
        <v>12</v>
      </c>
      <c r="E178" s="146" t="s">
        <v>45</v>
      </c>
      <c r="F178" s="146">
        <v>8063809409</v>
      </c>
      <c r="G178" s="147">
        <v>45536</v>
      </c>
      <c r="H178" s="146"/>
    </row>
    <row r="179" spans="2:8">
      <c r="B179" s="82">
        <v>168</v>
      </c>
      <c r="C179" s="146" t="s">
        <v>494</v>
      </c>
      <c r="D179" s="146" t="s">
        <v>9</v>
      </c>
      <c r="E179" s="146" t="s">
        <v>118</v>
      </c>
      <c r="F179" s="146">
        <v>8067226316</v>
      </c>
      <c r="G179" s="147">
        <v>41518</v>
      </c>
      <c r="H179" s="146" t="s">
        <v>314</v>
      </c>
    </row>
    <row r="180" spans="2:8">
      <c r="B180" s="82">
        <v>169</v>
      </c>
      <c r="C180" s="146" t="s">
        <v>495</v>
      </c>
      <c r="D180" s="146" t="s">
        <v>12</v>
      </c>
      <c r="E180" s="146" t="s">
        <v>496</v>
      </c>
      <c r="F180" s="146">
        <v>8038374104</v>
      </c>
      <c r="G180" s="147">
        <v>45901</v>
      </c>
      <c r="H180" s="146"/>
    </row>
    <row r="181" spans="2:8">
      <c r="B181" s="82">
        <v>170</v>
      </c>
      <c r="C181" s="146" t="s">
        <v>497</v>
      </c>
      <c r="D181" s="146" t="s">
        <v>12</v>
      </c>
      <c r="E181" s="146" t="s">
        <v>113</v>
      </c>
      <c r="F181" s="146">
        <v>7064990738</v>
      </c>
      <c r="G181" s="147">
        <v>40817</v>
      </c>
      <c r="H181" s="146" t="s">
        <v>430</v>
      </c>
    </row>
    <row r="182" spans="2:8">
      <c r="B182" s="82">
        <v>171</v>
      </c>
      <c r="C182" s="146" t="s">
        <v>498</v>
      </c>
      <c r="D182" s="146" t="s">
        <v>12</v>
      </c>
      <c r="E182" s="146" t="s">
        <v>118</v>
      </c>
      <c r="F182" s="146">
        <v>8030512701</v>
      </c>
      <c r="G182" s="147">
        <v>39722</v>
      </c>
      <c r="H182" s="146"/>
    </row>
    <row r="183" spans="2:8">
      <c r="B183" s="82">
        <v>172</v>
      </c>
      <c r="C183" s="146" t="s">
        <v>499</v>
      </c>
      <c r="D183" s="146" t="s">
        <v>12</v>
      </c>
      <c r="E183" s="146" t="s">
        <v>57</v>
      </c>
      <c r="F183" s="146">
        <v>7038946010</v>
      </c>
      <c r="G183" s="147">
        <v>46661</v>
      </c>
      <c r="H183" s="146" t="s">
        <v>319</v>
      </c>
    </row>
    <row r="184" spans="2:8">
      <c r="B184" s="82">
        <v>173</v>
      </c>
      <c r="C184" s="146" t="s">
        <v>500</v>
      </c>
      <c r="D184" s="146" t="s">
        <v>12</v>
      </c>
      <c r="E184" s="146" t="s">
        <v>118</v>
      </c>
      <c r="F184" s="146">
        <v>7038243809</v>
      </c>
      <c r="G184" s="147">
        <v>40817</v>
      </c>
      <c r="H184" s="146" t="s">
        <v>330</v>
      </c>
    </row>
    <row r="185" spans="2:8">
      <c r="B185" s="82">
        <v>174</v>
      </c>
      <c r="C185" s="146" t="s">
        <v>501</v>
      </c>
      <c r="D185" s="146" t="s">
        <v>12</v>
      </c>
      <c r="E185" s="146" t="s">
        <v>16</v>
      </c>
      <c r="F185" s="146">
        <v>8068855222</v>
      </c>
      <c r="G185" s="147">
        <v>44835</v>
      </c>
      <c r="H185" s="146" t="s">
        <v>336</v>
      </c>
    </row>
    <row r="186" spans="2:8">
      <c r="B186" s="82">
        <v>175</v>
      </c>
      <c r="C186" s="146" t="s">
        <v>502</v>
      </c>
      <c r="D186" s="146" t="s">
        <v>9</v>
      </c>
      <c r="E186" s="146" t="s">
        <v>118</v>
      </c>
      <c r="F186" s="146">
        <v>8066306319</v>
      </c>
      <c r="G186" s="147">
        <v>44105</v>
      </c>
      <c r="H186" s="146"/>
    </row>
    <row r="187" spans="2:8">
      <c r="B187" s="82">
        <v>176</v>
      </c>
      <c r="C187" s="146" t="s">
        <v>503</v>
      </c>
      <c r="D187" s="146" t="s">
        <v>12</v>
      </c>
      <c r="E187" s="146" t="s">
        <v>144</v>
      </c>
      <c r="F187" s="146">
        <v>8095610496</v>
      </c>
      <c r="G187" s="147">
        <v>42278</v>
      </c>
      <c r="H187" s="146" t="s">
        <v>330</v>
      </c>
    </row>
    <row r="188" spans="2:8">
      <c r="B188" s="82">
        <v>177</v>
      </c>
      <c r="C188" s="146" t="s">
        <v>504</v>
      </c>
      <c r="D188" s="146" t="s">
        <v>12</v>
      </c>
      <c r="E188" s="146" t="s">
        <v>71</v>
      </c>
      <c r="F188" s="146">
        <v>8063766718</v>
      </c>
      <c r="G188" s="147">
        <v>43374</v>
      </c>
      <c r="H188" s="146" t="s">
        <v>445</v>
      </c>
    </row>
    <row r="189" spans="2:8">
      <c r="B189" s="82">
        <v>178</v>
      </c>
      <c r="C189" s="146" t="s">
        <v>505</v>
      </c>
      <c r="D189" s="146" t="s">
        <v>12</v>
      </c>
      <c r="E189" s="146" t="s">
        <v>118</v>
      </c>
      <c r="F189" s="146">
        <v>7038121175</v>
      </c>
      <c r="G189" s="147">
        <v>39722</v>
      </c>
      <c r="H189" s="146" t="s">
        <v>330</v>
      </c>
    </row>
    <row r="190" spans="2:8">
      <c r="B190" s="82">
        <v>179</v>
      </c>
      <c r="C190" s="146" t="s">
        <v>506</v>
      </c>
      <c r="D190" s="146" t="s">
        <v>12</v>
      </c>
      <c r="E190" s="146" t="s">
        <v>16</v>
      </c>
      <c r="F190" s="146">
        <v>8065343363</v>
      </c>
      <c r="G190" s="147">
        <v>44470</v>
      </c>
      <c r="H190" s="146"/>
    </row>
    <row r="191" spans="2:8">
      <c r="B191" s="82">
        <v>180</v>
      </c>
      <c r="C191" s="146" t="s">
        <v>507</v>
      </c>
      <c r="D191" s="146" t="s">
        <v>12</v>
      </c>
      <c r="E191" s="146" t="s">
        <v>317</v>
      </c>
      <c r="F191" s="146">
        <v>7033295183</v>
      </c>
      <c r="G191" s="147">
        <v>45931</v>
      </c>
      <c r="H191" s="146"/>
    </row>
    <row r="192" spans="2:8">
      <c r="B192" s="82">
        <v>181</v>
      </c>
      <c r="C192" s="146" t="s">
        <v>508</v>
      </c>
      <c r="D192" s="146" t="s">
        <v>12</v>
      </c>
      <c r="E192" s="146" t="s">
        <v>27</v>
      </c>
      <c r="F192" s="146">
        <v>7030077805</v>
      </c>
      <c r="G192" s="147">
        <v>40452</v>
      </c>
      <c r="H192" s="146" t="s">
        <v>336</v>
      </c>
    </row>
    <row r="193" spans="2:8">
      <c r="B193" s="82">
        <v>182</v>
      </c>
      <c r="C193" s="146" t="s">
        <v>509</v>
      </c>
      <c r="D193" s="146" t="s">
        <v>12</v>
      </c>
      <c r="E193" s="146" t="s">
        <v>113</v>
      </c>
      <c r="F193" s="146">
        <v>8066589188</v>
      </c>
      <c r="G193" s="147">
        <v>37530</v>
      </c>
      <c r="H193" s="146" t="s">
        <v>308</v>
      </c>
    </row>
    <row r="194" spans="2:8">
      <c r="B194" s="82">
        <v>183</v>
      </c>
      <c r="C194" s="146" t="s">
        <v>510</v>
      </c>
      <c r="D194" s="146" t="s">
        <v>9</v>
      </c>
      <c r="E194" s="146" t="s">
        <v>99</v>
      </c>
      <c r="F194" s="146"/>
      <c r="G194" s="147">
        <v>37165</v>
      </c>
      <c r="H194" s="146"/>
    </row>
    <row r="195" spans="2:8">
      <c r="B195" s="82">
        <v>184</v>
      </c>
      <c r="C195" s="146" t="s">
        <v>511</v>
      </c>
      <c r="D195" s="146" t="s">
        <v>12</v>
      </c>
      <c r="E195" s="146" t="s">
        <v>99</v>
      </c>
      <c r="F195" s="146">
        <v>8062227840</v>
      </c>
      <c r="G195" s="147">
        <v>45931</v>
      </c>
      <c r="H195" s="146"/>
    </row>
    <row r="196" spans="2:8">
      <c r="B196" s="82">
        <v>185</v>
      </c>
      <c r="C196" s="146" t="s">
        <v>512</v>
      </c>
      <c r="D196" s="146" t="s">
        <v>12</v>
      </c>
      <c r="E196" s="146" t="s">
        <v>16</v>
      </c>
      <c r="F196" s="146">
        <v>7032623818</v>
      </c>
      <c r="G196" s="147">
        <v>11263</v>
      </c>
      <c r="H196" s="146" t="s">
        <v>445</v>
      </c>
    </row>
    <row r="197" spans="2:8">
      <c r="B197" s="82">
        <v>186</v>
      </c>
      <c r="C197" s="146" t="s">
        <v>513</v>
      </c>
      <c r="D197" s="146" t="s">
        <v>12</v>
      </c>
      <c r="E197" s="146" t="s">
        <v>71</v>
      </c>
      <c r="F197" s="146">
        <v>8036365919</v>
      </c>
      <c r="G197" s="147">
        <v>37196</v>
      </c>
      <c r="H197" s="146" t="s">
        <v>341</v>
      </c>
    </row>
    <row r="198" spans="2:8">
      <c r="B198" s="82">
        <v>187</v>
      </c>
      <c r="C198" s="146" t="s">
        <v>514</v>
      </c>
      <c r="D198" s="146" t="s">
        <v>12</v>
      </c>
      <c r="E198" s="146" t="s">
        <v>113</v>
      </c>
      <c r="F198" s="146">
        <v>8035486807</v>
      </c>
      <c r="G198" s="147">
        <v>46327</v>
      </c>
      <c r="H198" s="146"/>
    </row>
    <row r="199" spans="2:8">
      <c r="B199" s="82">
        <v>188</v>
      </c>
      <c r="C199" s="146" t="s">
        <v>515</v>
      </c>
      <c r="D199" s="146" t="s">
        <v>9</v>
      </c>
      <c r="E199" s="146" t="s">
        <v>38</v>
      </c>
      <c r="F199" s="146">
        <v>8024905586</v>
      </c>
      <c r="G199" s="147">
        <v>41944</v>
      </c>
      <c r="H199" s="146" t="s">
        <v>314</v>
      </c>
    </row>
    <row r="200" spans="2:8">
      <c r="B200" s="82">
        <v>189</v>
      </c>
      <c r="C200" s="146" t="s">
        <v>516</v>
      </c>
      <c r="D200" s="146" t="s">
        <v>12</v>
      </c>
      <c r="E200" s="146" t="s">
        <v>38</v>
      </c>
      <c r="F200" s="146">
        <v>8025598549</v>
      </c>
      <c r="G200" s="147">
        <v>39753</v>
      </c>
      <c r="H200" s="146"/>
    </row>
    <row r="201" spans="2:8">
      <c r="B201" s="82">
        <v>190</v>
      </c>
      <c r="C201" s="146" t="s">
        <v>517</v>
      </c>
      <c r="D201" s="146" t="s">
        <v>12</v>
      </c>
      <c r="E201" s="146" t="s">
        <v>25</v>
      </c>
      <c r="F201" s="146">
        <v>8038640037</v>
      </c>
      <c r="G201" s="147">
        <v>37926</v>
      </c>
      <c r="H201" s="146" t="s">
        <v>314</v>
      </c>
    </row>
    <row r="202" spans="2:8">
      <c r="B202" s="149">
        <v>191</v>
      </c>
      <c r="C202" s="146" t="s">
        <v>518</v>
      </c>
      <c r="D202" s="146" t="s">
        <v>12</v>
      </c>
      <c r="E202" s="146" t="s">
        <v>19</v>
      </c>
      <c r="F202" s="146">
        <v>7030077119</v>
      </c>
      <c r="G202" s="147">
        <v>46327</v>
      </c>
      <c r="H202" s="146"/>
    </row>
    <row r="203" spans="2:8">
      <c r="B203" s="149">
        <v>192</v>
      </c>
      <c r="C203" s="146" t="s">
        <v>519</v>
      </c>
      <c r="D203" s="146" t="s">
        <v>12</v>
      </c>
      <c r="E203" s="146" t="s">
        <v>38</v>
      </c>
      <c r="F203" s="146">
        <v>8131361995</v>
      </c>
      <c r="G203" s="147">
        <v>47058</v>
      </c>
      <c r="H203" s="146" t="s">
        <v>336</v>
      </c>
    </row>
    <row r="204" spans="2:8">
      <c r="B204" s="82">
        <v>193</v>
      </c>
      <c r="C204" s="146" t="s">
        <v>520</v>
      </c>
      <c r="D204" s="146" t="s">
        <v>12</v>
      </c>
      <c r="E204" s="146" t="s">
        <v>33</v>
      </c>
      <c r="F204" s="146">
        <v>8032530242</v>
      </c>
      <c r="G204" s="147">
        <v>41944</v>
      </c>
      <c r="H204" s="146" t="s">
        <v>354</v>
      </c>
    </row>
    <row r="205" spans="2:8">
      <c r="B205" s="149">
        <v>194</v>
      </c>
      <c r="C205" s="146" t="s">
        <v>521</v>
      </c>
      <c r="D205" s="146" t="s">
        <v>12</v>
      </c>
      <c r="E205" s="146" t="s">
        <v>62</v>
      </c>
      <c r="F205" s="146">
        <v>8032234744</v>
      </c>
      <c r="G205" s="147">
        <v>40848</v>
      </c>
      <c r="H205" s="146"/>
    </row>
    <row r="206" spans="2:8">
      <c r="B206" s="149">
        <v>195</v>
      </c>
      <c r="C206" s="146" t="s">
        <v>522</v>
      </c>
      <c r="D206" s="146" t="s">
        <v>12</v>
      </c>
      <c r="E206" s="146" t="s">
        <v>38</v>
      </c>
      <c r="F206" s="146">
        <v>8050208560</v>
      </c>
      <c r="G206" s="147">
        <v>43770</v>
      </c>
      <c r="H206" s="146"/>
    </row>
    <row r="207" spans="2:8">
      <c r="B207" s="149">
        <v>196</v>
      </c>
      <c r="C207" s="146" t="s">
        <v>523</v>
      </c>
      <c r="D207" s="146" t="s">
        <v>12</v>
      </c>
      <c r="E207" s="146" t="s">
        <v>218</v>
      </c>
      <c r="F207" s="146"/>
      <c r="G207" s="147">
        <v>43040</v>
      </c>
      <c r="H207" s="146"/>
    </row>
    <row r="208" spans="2:8">
      <c r="B208" s="82">
        <v>197</v>
      </c>
      <c r="C208" s="146" t="s">
        <v>524</v>
      </c>
      <c r="D208" s="146" t="s">
        <v>12</v>
      </c>
      <c r="E208" s="146" t="s">
        <v>75</v>
      </c>
      <c r="F208" s="146">
        <v>8068881045</v>
      </c>
      <c r="G208" s="147">
        <v>43040</v>
      </c>
      <c r="H208" s="146"/>
    </row>
    <row r="209" spans="2:8">
      <c r="B209" s="82">
        <v>198</v>
      </c>
      <c r="C209" s="146" t="s">
        <v>525</v>
      </c>
      <c r="D209" s="146" t="s">
        <v>12</v>
      </c>
      <c r="E209" s="146" t="s">
        <v>118</v>
      </c>
      <c r="F209" s="146">
        <v>8062268667</v>
      </c>
      <c r="G209" s="147">
        <v>46327</v>
      </c>
      <c r="H209" s="146"/>
    </row>
    <row r="210" spans="2:8">
      <c r="B210" s="82">
        <v>199</v>
      </c>
      <c r="C210" s="146" t="s">
        <v>526</v>
      </c>
      <c r="D210" s="146" t="s">
        <v>12</v>
      </c>
      <c r="E210" s="146" t="s">
        <v>77</v>
      </c>
      <c r="F210" s="146">
        <v>8137973427</v>
      </c>
      <c r="G210" s="147">
        <v>37196</v>
      </c>
      <c r="H210" s="146"/>
    </row>
    <row r="211" spans="2:8">
      <c r="B211" s="82">
        <v>200</v>
      </c>
      <c r="C211" s="146" t="s">
        <v>527</v>
      </c>
      <c r="D211" s="146" t="s">
        <v>12</v>
      </c>
      <c r="E211" s="146" t="s">
        <v>16</v>
      </c>
      <c r="F211" s="146">
        <v>8069392599</v>
      </c>
      <c r="G211" s="147">
        <v>45962</v>
      </c>
      <c r="H211" s="146"/>
    </row>
    <row r="212" spans="2:8">
      <c r="B212" s="82">
        <v>201</v>
      </c>
      <c r="C212" s="146" t="s">
        <v>528</v>
      </c>
      <c r="D212" s="146" t="s">
        <v>9</v>
      </c>
      <c r="E212" s="146" t="s">
        <v>57</v>
      </c>
      <c r="F212" s="146">
        <v>8036098587</v>
      </c>
      <c r="G212" s="147">
        <v>38657</v>
      </c>
      <c r="H212" s="146"/>
    </row>
    <row r="213" spans="2:8">
      <c r="B213" s="82">
        <v>202</v>
      </c>
      <c r="C213" s="146" t="s">
        <v>529</v>
      </c>
      <c r="D213" s="146" t="s">
        <v>12</v>
      </c>
      <c r="E213" s="146" t="s">
        <v>45</v>
      </c>
      <c r="F213" s="146">
        <v>8036103705</v>
      </c>
      <c r="G213" s="147">
        <v>11263</v>
      </c>
      <c r="H213" s="146"/>
    </row>
    <row r="214" spans="2:8">
      <c r="B214" s="82">
        <v>203</v>
      </c>
      <c r="C214" s="146" t="s">
        <v>530</v>
      </c>
      <c r="D214" s="146" t="s">
        <v>12</v>
      </c>
      <c r="E214" s="146" t="s">
        <v>38</v>
      </c>
      <c r="F214" s="146">
        <v>8131899276</v>
      </c>
      <c r="G214" s="147">
        <v>37226</v>
      </c>
      <c r="H214" s="146"/>
    </row>
    <row r="215" spans="2:8">
      <c r="B215" s="150">
        <v>204</v>
      </c>
      <c r="C215" s="146" t="s">
        <v>531</v>
      </c>
      <c r="D215" s="146" t="s">
        <v>12</v>
      </c>
      <c r="E215" s="146" t="s">
        <v>16</v>
      </c>
      <c r="F215" s="146">
        <v>8034258627</v>
      </c>
      <c r="G215" s="147">
        <v>42339</v>
      </c>
      <c r="H215" s="146"/>
    </row>
    <row r="216" spans="2:8">
      <c r="B216" s="151">
        <v>205</v>
      </c>
      <c r="C216" s="146" t="s">
        <v>532</v>
      </c>
      <c r="D216" s="146" t="s">
        <v>12</v>
      </c>
      <c r="E216" s="146" t="s">
        <v>38</v>
      </c>
      <c r="F216" s="146">
        <v>7036316846</v>
      </c>
      <c r="G216" s="147">
        <v>44166</v>
      </c>
      <c r="H216" s="146"/>
    </row>
    <row r="217" spans="2:8">
      <c r="B217" s="151">
        <v>206</v>
      </c>
      <c r="C217" s="146" t="s">
        <v>533</v>
      </c>
      <c r="D217" s="146" t="s">
        <v>12</v>
      </c>
      <c r="E217" s="146" t="s">
        <v>25</v>
      </c>
      <c r="F217" s="146">
        <v>8061684685</v>
      </c>
      <c r="G217" s="147">
        <v>41244</v>
      </c>
      <c r="H217" s="146"/>
    </row>
    <row r="218" spans="2:8">
      <c r="B218" s="151">
        <v>207</v>
      </c>
      <c r="C218" s="146" t="s">
        <v>534</v>
      </c>
      <c r="D218" s="146" t="s">
        <v>12</v>
      </c>
      <c r="E218" s="146" t="s">
        <v>62</v>
      </c>
      <c r="F218" s="146">
        <v>8062206502</v>
      </c>
      <c r="G218" s="147">
        <v>39783</v>
      </c>
      <c r="H218" s="146"/>
    </row>
    <row r="219" spans="2:8">
      <c r="B219" s="151">
        <v>208</v>
      </c>
      <c r="C219" s="146" t="s">
        <v>535</v>
      </c>
      <c r="D219" s="146" t="s">
        <v>12</v>
      </c>
      <c r="E219" s="146" t="s">
        <v>27</v>
      </c>
      <c r="F219" s="146">
        <v>7033340879</v>
      </c>
      <c r="G219" s="147">
        <v>11293</v>
      </c>
      <c r="H219" s="146"/>
    </row>
    <row r="220" spans="2:8">
      <c r="B220" s="151">
        <v>209</v>
      </c>
      <c r="C220" s="146" t="s">
        <v>536</v>
      </c>
      <c r="D220" s="146" t="s">
        <v>12</v>
      </c>
      <c r="E220" s="146" t="s">
        <v>45</v>
      </c>
      <c r="F220" s="146"/>
      <c r="G220" s="147">
        <v>37226</v>
      </c>
      <c r="H220" s="146"/>
    </row>
    <row r="221" spans="2:8">
      <c r="B221" s="151">
        <v>210</v>
      </c>
      <c r="C221" s="146" t="s">
        <v>537</v>
      </c>
      <c r="D221" s="146" t="s">
        <v>9</v>
      </c>
      <c r="E221" s="146" t="s">
        <v>218</v>
      </c>
      <c r="F221" s="146">
        <v>8067907234</v>
      </c>
      <c r="G221" s="147">
        <v>45992</v>
      </c>
      <c r="H221" s="146"/>
    </row>
    <row r="222" spans="2:8">
      <c r="B222" s="151">
        <v>211</v>
      </c>
      <c r="C222" s="146" t="s">
        <v>538</v>
      </c>
      <c r="D222" s="146" t="s">
        <v>12</v>
      </c>
      <c r="E222" s="146" t="s">
        <v>43</v>
      </c>
      <c r="F222" s="146">
        <v>8050883227</v>
      </c>
      <c r="G222" s="147">
        <v>37591</v>
      </c>
      <c r="H222" s="146"/>
    </row>
    <row r="223" spans="2:8">
      <c r="B223" s="151">
        <v>212</v>
      </c>
      <c r="C223" s="146" t="s">
        <v>539</v>
      </c>
      <c r="D223" s="146" t="s">
        <v>12</v>
      </c>
      <c r="E223" s="146" t="s">
        <v>19</v>
      </c>
      <c r="F223" s="146">
        <v>7032353814</v>
      </c>
      <c r="G223" s="147">
        <v>38687</v>
      </c>
      <c r="H223" s="146" t="s">
        <v>312</v>
      </c>
    </row>
    <row r="224" spans="2:8">
      <c r="B224" s="151">
        <v>213</v>
      </c>
      <c r="C224" s="146" t="s">
        <v>540</v>
      </c>
      <c r="D224" s="146" t="s">
        <v>9</v>
      </c>
      <c r="E224" s="146" t="s">
        <v>25</v>
      </c>
      <c r="F224" s="146"/>
      <c r="G224" s="147">
        <v>46722</v>
      </c>
      <c r="H224" s="146"/>
    </row>
    <row r="225" spans="2:8">
      <c r="B225" s="151">
        <v>214</v>
      </c>
      <c r="C225" s="146" t="s">
        <v>541</v>
      </c>
      <c r="D225" s="146" t="s">
        <v>12</v>
      </c>
      <c r="E225" s="146" t="s">
        <v>21</v>
      </c>
      <c r="F225" s="146">
        <v>8063903438</v>
      </c>
      <c r="G225" s="147">
        <v>47453</v>
      </c>
      <c r="H225" s="146" t="s">
        <v>330</v>
      </c>
    </row>
    <row r="226" spans="2:8">
      <c r="B226" s="151">
        <v>215</v>
      </c>
      <c r="C226" s="146" t="s">
        <v>542</v>
      </c>
      <c r="D226" s="146" t="s">
        <v>12</v>
      </c>
      <c r="E226" s="146" t="s">
        <v>158</v>
      </c>
      <c r="F226" s="146">
        <v>8169590405</v>
      </c>
      <c r="G226" s="147">
        <v>38687</v>
      </c>
      <c r="H226" s="146"/>
    </row>
    <row r="227" spans="2:8">
      <c r="B227" s="151">
        <v>216</v>
      </c>
      <c r="C227" s="146" t="s">
        <v>543</v>
      </c>
      <c r="D227" s="146" t="s">
        <v>12</v>
      </c>
      <c r="E227" s="146" t="s">
        <v>113</v>
      </c>
      <c r="F227" s="146">
        <v>8050980259</v>
      </c>
      <c r="G227" s="147">
        <v>42705</v>
      </c>
      <c r="H227" s="146" t="s">
        <v>330</v>
      </c>
    </row>
    <row r="228" spans="2:8">
      <c r="B228" s="151">
        <v>217</v>
      </c>
      <c r="C228" s="152" t="s">
        <v>544</v>
      </c>
      <c r="D228" s="152" t="s">
        <v>12</v>
      </c>
      <c r="E228" s="146" t="s">
        <v>14</v>
      </c>
      <c r="F228" s="146">
        <v>8065821763</v>
      </c>
      <c r="G228" s="147">
        <v>37591</v>
      </c>
      <c r="H228" s="152" t="s">
        <v>308</v>
      </c>
    </row>
    <row r="229" spans="2:8">
      <c r="B229" s="153"/>
    </row>
  </sheetData>
  <pageMargins left="0.31496062992125984" right="0.31496062992125984" top="0.39370078740157483" bottom="0.35433070866141736" header="0.31496062992125984" footer="0.31496062992125984"/>
</worksheet>
</file>

<file path=xl/worksheets/sheet9.xml><?xml version="1.0" encoding="utf-8"?>
<worksheet xmlns="http://schemas.openxmlformats.org/spreadsheetml/2006/main" xmlns:r="http://schemas.openxmlformats.org/officeDocument/2006/relationships">
  <dimension ref="D3:I8"/>
  <sheetViews>
    <sheetView workbookViewId="0">
      <selection activeCell="F11" sqref="F11"/>
    </sheetView>
  </sheetViews>
  <sheetFormatPr defaultColWidth="10" defaultRowHeight="15"/>
  <sheetData>
    <row r="3" spans="4:9" ht="15.75">
      <c r="E3" s="42"/>
      <c r="F3" s="43"/>
      <c r="H3" s="44" t="s">
        <v>0</v>
      </c>
      <c r="I3" s="42"/>
    </row>
    <row r="4" spans="4:9" ht="15.75">
      <c r="E4" s="42"/>
      <c r="F4" s="43"/>
      <c r="H4" s="44" t="s">
        <v>1</v>
      </c>
      <c r="I4" s="42"/>
    </row>
    <row r="5" spans="4:9" ht="15.75">
      <c r="E5" s="42"/>
      <c r="F5" s="45"/>
      <c r="H5" s="46" t="s">
        <v>2</v>
      </c>
      <c r="I5" s="42"/>
    </row>
    <row r="6" spans="4:9" ht="15.75">
      <c r="D6" s="42"/>
      <c r="E6" s="45"/>
      <c r="G6" s="46"/>
      <c r="H6" s="42"/>
    </row>
    <row r="7" spans="4:9">
      <c r="D7" s="60" t="s">
        <v>1262</v>
      </c>
      <c r="E7" s="61"/>
      <c r="F7" s="61"/>
      <c r="G7" s="61"/>
      <c r="H7" s="61"/>
    </row>
    <row r="8" spans="4:9" ht="15.75">
      <c r="D8" s="62" t="s">
        <v>1263</v>
      </c>
      <c r="E8" s="61"/>
      <c r="F8" s="61"/>
      <c r="G8" s="61"/>
      <c r="H8" s="6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3:N137"/>
  <sheetViews>
    <sheetView topLeftCell="C1" workbookViewId="0">
      <selection activeCell="F11" sqref="F11:F137"/>
    </sheetView>
  </sheetViews>
  <sheetFormatPr defaultColWidth="9" defaultRowHeight="15"/>
  <cols>
    <col min="1" max="1" width="8.5703125" customWidth="1"/>
    <col min="2" max="2" width="6.140625" customWidth="1"/>
    <col min="3" max="3" width="23.28515625" customWidth="1"/>
    <col min="4" max="4" width="16.28515625" customWidth="1"/>
    <col min="5" max="5" width="21.85546875" customWidth="1"/>
    <col min="6" max="6" width="15.42578125" customWidth="1"/>
    <col min="7" max="7" width="15" customWidth="1"/>
    <col min="8" max="8" width="8.5703125" customWidth="1"/>
    <col min="9" max="9" width="20.5703125" customWidth="1"/>
    <col min="10" max="10" width="22.42578125" customWidth="1"/>
    <col min="11" max="11" width="8.5703125" customWidth="1"/>
    <col min="12" max="12" width="10.28515625" customWidth="1"/>
    <col min="13" max="13" width="8.5703125" customWidth="1"/>
    <col min="14" max="14" width="13.28515625" customWidth="1"/>
    <col min="15" max="256" width="8.5703125" customWidth="1"/>
  </cols>
  <sheetData>
    <row r="3" spans="2:14" ht="15.75">
      <c r="E3" s="42"/>
      <c r="F3" s="43"/>
      <c r="H3" s="44" t="s">
        <v>0</v>
      </c>
      <c r="I3" s="42"/>
    </row>
    <row r="4" spans="2:14" ht="15.75">
      <c r="E4" s="42"/>
      <c r="F4" s="43"/>
      <c r="H4" s="44" t="s">
        <v>1</v>
      </c>
      <c r="I4" s="42"/>
    </row>
    <row r="5" spans="2:14" ht="15.75">
      <c r="E5" s="42"/>
      <c r="F5" s="45"/>
      <c r="H5" s="46" t="s">
        <v>2</v>
      </c>
      <c r="I5" s="42"/>
    </row>
    <row r="6" spans="2:14" ht="15.75">
      <c r="D6" s="42"/>
      <c r="E6" s="45"/>
      <c r="G6" s="46"/>
      <c r="H6" s="42"/>
    </row>
    <row r="7" spans="2:14">
      <c r="D7" s="60" t="s">
        <v>1264</v>
      </c>
      <c r="E7" s="61"/>
      <c r="F7" s="61"/>
      <c r="G7" s="61"/>
      <c r="H7" s="61"/>
    </row>
    <row r="8" spans="2:14" ht="15.75">
      <c r="D8" s="62" t="s">
        <v>1713</v>
      </c>
      <c r="E8" s="61"/>
      <c r="F8" s="61"/>
      <c r="G8" s="61"/>
      <c r="H8" s="61"/>
    </row>
    <row r="10" spans="2:14" ht="60.75">
      <c r="B10" s="154" t="s">
        <v>952</v>
      </c>
      <c r="C10" s="154" t="s">
        <v>4</v>
      </c>
      <c r="D10" s="154" t="s">
        <v>953</v>
      </c>
      <c r="E10" s="154" t="s">
        <v>557</v>
      </c>
      <c r="F10" s="155" t="s">
        <v>954</v>
      </c>
      <c r="G10" s="155" t="s">
        <v>955</v>
      </c>
      <c r="H10" s="154" t="s">
        <v>305</v>
      </c>
      <c r="I10" s="154" t="s">
        <v>956</v>
      </c>
      <c r="J10" s="154" t="s">
        <v>957</v>
      </c>
      <c r="K10" s="154" t="s">
        <v>958</v>
      </c>
      <c r="L10" s="156" t="s">
        <v>959</v>
      </c>
      <c r="M10" s="157" t="s">
        <v>960</v>
      </c>
      <c r="N10" s="158" t="s">
        <v>961</v>
      </c>
    </row>
    <row r="11" spans="2:14">
      <c r="B11" s="159">
        <v>1</v>
      </c>
      <c r="C11" s="159" t="s">
        <v>962</v>
      </c>
      <c r="D11" s="159"/>
      <c r="E11" s="160" t="str">
        <f>HYPERLINK("mailto:teta_tun@yahoo.com","teta_tun@yahoo.com")</f>
        <v>teta_tun@yahoo.com</v>
      </c>
      <c r="F11" s="161">
        <v>8069069630</v>
      </c>
      <c r="G11" s="161"/>
      <c r="H11" s="162">
        <v>40182</v>
      </c>
      <c r="I11" s="159"/>
      <c r="J11" s="159"/>
      <c r="K11" s="159"/>
      <c r="L11" s="163"/>
      <c r="M11" s="164"/>
      <c r="N11" s="165"/>
    </row>
    <row r="12" spans="2:14" ht="45">
      <c r="B12" s="166">
        <v>2</v>
      </c>
      <c r="C12" s="166" t="s">
        <v>963</v>
      </c>
      <c r="D12" s="166" t="s">
        <v>964</v>
      </c>
      <c r="E12" s="167" t="str">
        <f>HYPERLINK("mailto:princesammy4god@yahoo.com","princesammy4god@yahoo.com")</f>
        <v>princesammy4god@yahoo.com</v>
      </c>
      <c r="F12" s="168">
        <v>8033738797</v>
      </c>
      <c r="G12" s="168">
        <v>8052388677</v>
      </c>
      <c r="H12" s="169">
        <v>40184</v>
      </c>
      <c r="I12" s="166" t="s">
        <v>965</v>
      </c>
      <c r="J12" s="166" t="s">
        <v>966</v>
      </c>
      <c r="K12" s="166" t="s">
        <v>967</v>
      </c>
      <c r="L12" s="170" t="s">
        <v>968</v>
      </c>
      <c r="M12" s="164"/>
      <c r="N12" s="165"/>
    </row>
    <row r="13" spans="2:14" ht="45">
      <c r="B13" s="166">
        <v>3</v>
      </c>
      <c r="C13" s="166" t="s">
        <v>969</v>
      </c>
      <c r="D13" s="166"/>
      <c r="E13" s="167" t="str">
        <f>HYPERLINK("mailto:temiaph@yahoo.com","temiaph@yahoo.com")</f>
        <v>temiaph@yahoo.com</v>
      </c>
      <c r="F13" s="168">
        <f>16312200435</f>
        <v>16312200435</v>
      </c>
      <c r="G13" s="168"/>
      <c r="H13" s="169">
        <v>40184</v>
      </c>
      <c r="I13" s="166" t="s">
        <v>970</v>
      </c>
      <c r="J13" s="166"/>
      <c r="K13" s="166" t="s">
        <v>971</v>
      </c>
      <c r="L13" s="170"/>
      <c r="M13" s="164"/>
      <c r="N13" s="165"/>
    </row>
    <row r="14" spans="2:14">
      <c r="B14" s="159">
        <v>4</v>
      </c>
      <c r="C14" s="159" t="s">
        <v>972</v>
      </c>
      <c r="D14" s="159"/>
      <c r="E14" s="160" t="str">
        <f>HYPERLINK("mailto:jydemm@yahoo.co.uk","jydemm@yahoo.co.uk")</f>
        <v>jydemm@yahoo.co.uk</v>
      </c>
      <c r="F14" s="161">
        <v>8069393228</v>
      </c>
      <c r="G14" s="161"/>
      <c r="H14" s="162">
        <v>40185</v>
      </c>
      <c r="I14" s="159" t="s">
        <v>973</v>
      </c>
      <c r="J14" s="159"/>
      <c r="K14" s="159" t="s">
        <v>974</v>
      </c>
      <c r="L14" s="163"/>
      <c r="M14" s="164"/>
      <c r="N14" s="165"/>
    </row>
    <row r="15" spans="2:14" ht="30">
      <c r="B15" s="159">
        <v>5</v>
      </c>
      <c r="C15" s="159" t="s">
        <v>975</v>
      </c>
      <c r="D15" s="159"/>
      <c r="E15" s="160" t="str">
        <f>HYPERLINK("mailto:tosinomotayo2000@yahoo.co.uk","tosinomotayo2000@yahoo.co.uk")</f>
        <v>tosinomotayo2000@yahoo.co.uk</v>
      </c>
      <c r="F15" s="161">
        <v>8060928118</v>
      </c>
      <c r="G15" s="161"/>
      <c r="H15" s="162">
        <v>40186</v>
      </c>
      <c r="I15" s="159"/>
      <c r="J15" s="159"/>
      <c r="K15" s="159"/>
      <c r="L15" s="163"/>
      <c r="M15" s="164"/>
      <c r="N15" s="165"/>
    </row>
    <row r="16" spans="2:14" ht="30">
      <c r="B16" s="159">
        <v>6</v>
      </c>
      <c r="C16" s="159" t="s">
        <v>976</v>
      </c>
      <c r="D16" s="159"/>
      <c r="E16" s="160" t="str">
        <f>HYPERLINK("mailto:buntos2001@yahoo.com","buntos2001@yahoo.com")</f>
        <v>buntos2001@yahoo.com</v>
      </c>
      <c r="F16" s="161">
        <v>7032983885</v>
      </c>
      <c r="G16" s="161"/>
      <c r="H16" s="162">
        <v>40189</v>
      </c>
      <c r="I16" s="159" t="s">
        <v>977</v>
      </c>
      <c r="J16" s="159"/>
      <c r="K16" s="159"/>
      <c r="L16" s="163" t="s">
        <v>978</v>
      </c>
      <c r="M16" s="164"/>
      <c r="N16" s="165"/>
    </row>
    <row r="17" spans="2:14">
      <c r="B17" s="159">
        <v>7</v>
      </c>
      <c r="C17" s="159" t="s">
        <v>979</v>
      </c>
      <c r="D17" s="159"/>
      <c r="E17" s="160" t="str">
        <f>HYPERLINK("mailto:tundex_s@yahoo.com","tundex_s@yahoo.com")</f>
        <v>tundex_s@yahoo.com</v>
      </c>
      <c r="F17" s="161">
        <v>8058308221</v>
      </c>
      <c r="G17" s="161"/>
      <c r="H17" s="162">
        <v>40202</v>
      </c>
      <c r="I17" s="159"/>
      <c r="J17" s="159"/>
      <c r="K17" s="159"/>
      <c r="L17" s="163"/>
      <c r="M17" s="164"/>
      <c r="N17" s="165"/>
    </row>
    <row r="18" spans="2:14" ht="30">
      <c r="B18" s="159">
        <v>8</v>
      </c>
      <c r="C18" s="159" t="s">
        <v>980</v>
      </c>
      <c r="D18" s="159"/>
      <c r="E18" s="160" t="str">
        <f>HYPERLINK("mailto:ajayigbenga37@yahoo.com","ajayigbenga37@yahoo.com")</f>
        <v>ajayigbenga37@yahoo.com</v>
      </c>
      <c r="F18" s="161">
        <v>7033089935</v>
      </c>
      <c r="G18" s="161"/>
      <c r="H18" s="162">
        <v>40203</v>
      </c>
      <c r="I18" s="159" t="s">
        <v>981</v>
      </c>
      <c r="J18" s="159"/>
      <c r="K18" s="159" t="s">
        <v>971</v>
      </c>
      <c r="L18" s="163"/>
      <c r="M18" s="164"/>
      <c r="N18" s="165"/>
    </row>
    <row r="19" spans="2:14" ht="30">
      <c r="B19" s="159">
        <v>9</v>
      </c>
      <c r="C19" s="159" t="s">
        <v>982</v>
      </c>
      <c r="D19" s="159"/>
      <c r="E19" s="160"/>
      <c r="F19" s="161">
        <v>7034507947</v>
      </c>
      <c r="G19" s="161"/>
      <c r="H19" s="162">
        <v>40209</v>
      </c>
      <c r="I19" s="159"/>
      <c r="J19" s="159"/>
      <c r="K19" s="159"/>
      <c r="L19" s="163"/>
      <c r="M19" s="164"/>
      <c r="N19" s="165"/>
    </row>
    <row r="20" spans="2:14" ht="30">
      <c r="B20" s="159">
        <v>10</v>
      </c>
      <c r="C20" s="159" t="s">
        <v>983</v>
      </c>
      <c r="D20" s="159"/>
      <c r="E20" s="160" t="str">
        <f>HYPERLINK("mailto:tyvctr@yahoo.com","tyvctr@yahoo.com")</f>
        <v>tyvctr@yahoo.com</v>
      </c>
      <c r="F20" s="161">
        <v>8064631626</v>
      </c>
      <c r="G20" s="161"/>
      <c r="H20" s="162">
        <v>40211</v>
      </c>
      <c r="I20" s="159" t="s">
        <v>984</v>
      </c>
      <c r="J20" s="159"/>
      <c r="K20" s="159" t="s">
        <v>974</v>
      </c>
      <c r="L20" s="163"/>
      <c r="M20" s="164"/>
      <c r="N20" s="165"/>
    </row>
    <row r="21" spans="2:14" ht="30">
      <c r="B21" s="159">
        <v>11</v>
      </c>
      <c r="C21" s="159" t="s">
        <v>985</v>
      </c>
      <c r="D21" s="159"/>
      <c r="E21" s="160" t="str">
        <f>HYPERLINK("mailto:kunlesze88@yahoo.com","kunlesze88@yahoo.com")</f>
        <v>kunlesze88@yahoo.com</v>
      </c>
      <c r="F21" s="161">
        <v>8151915858</v>
      </c>
      <c r="G21" s="161">
        <v>8132740846</v>
      </c>
      <c r="H21" s="162">
        <v>40214</v>
      </c>
      <c r="I21" s="159" t="s">
        <v>986</v>
      </c>
      <c r="J21" s="159"/>
      <c r="K21" s="159" t="s">
        <v>967</v>
      </c>
      <c r="L21" s="163"/>
      <c r="M21" s="164"/>
      <c r="N21" s="165"/>
    </row>
    <row r="22" spans="2:14">
      <c r="B22" s="159">
        <v>12</v>
      </c>
      <c r="C22" s="159" t="s">
        <v>987</v>
      </c>
      <c r="D22" s="159"/>
      <c r="E22" s="160" t="str">
        <f>HYPERLINK("mailto:slayomi@yahoo.com","slayomi@yahoo.com")</f>
        <v>slayomi@yahoo.com</v>
      </c>
      <c r="F22" s="161">
        <v>8062871300</v>
      </c>
      <c r="G22" s="161">
        <v>8056000865</v>
      </c>
      <c r="H22" s="162">
        <v>40219</v>
      </c>
      <c r="I22" s="159" t="s">
        <v>988</v>
      </c>
      <c r="J22" s="159"/>
      <c r="K22" s="159" t="s">
        <v>971</v>
      </c>
      <c r="L22" s="163"/>
      <c r="M22" s="164"/>
      <c r="N22" s="165"/>
    </row>
    <row r="23" spans="2:14" ht="30">
      <c r="B23" s="159">
        <v>13</v>
      </c>
      <c r="C23" s="159" t="s">
        <v>989</v>
      </c>
      <c r="D23" s="159"/>
      <c r="E23" s="160" t="s">
        <v>990</v>
      </c>
      <c r="F23" s="161">
        <v>8022488965</v>
      </c>
      <c r="G23" s="161">
        <v>7033591304</v>
      </c>
      <c r="H23" s="162">
        <v>40220</v>
      </c>
      <c r="I23" s="159"/>
      <c r="J23" s="159"/>
      <c r="K23" s="159"/>
      <c r="L23" s="163"/>
      <c r="M23" s="164"/>
      <c r="N23" s="165"/>
    </row>
    <row r="24" spans="2:14" ht="60">
      <c r="B24" s="166">
        <v>14</v>
      </c>
      <c r="C24" s="166" t="s">
        <v>991</v>
      </c>
      <c r="D24" s="166" t="s">
        <v>992</v>
      </c>
      <c r="E24" s="167" t="s">
        <v>993</v>
      </c>
      <c r="F24" s="168">
        <v>8038226951</v>
      </c>
      <c r="G24" s="168" t="s">
        <v>994</v>
      </c>
      <c r="H24" s="169">
        <v>40222</v>
      </c>
      <c r="I24" s="166" t="s">
        <v>995</v>
      </c>
      <c r="J24" s="166" t="s">
        <v>996</v>
      </c>
      <c r="K24" s="166" t="s">
        <v>997</v>
      </c>
      <c r="L24" s="170" t="s">
        <v>968</v>
      </c>
      <c r="M24" s="164"/>
      <c r="N24" s="165" t="s">
        <v>998</v>
      </c>
    </row>
    <row r="25" spans="2:14" ht="45">
      <c r="B25" s="159">
        <v>15</v>
      </c>
      <c r="C25" s="159" t="s">
        <v>999</v>
      </c>
      <c r="D25" s="159"/>
      <c r="E25" s="160" t="str">
        <f>HYPERLINK("mailto:dammytop2004@yahoo.com","dammytop2004@yahoo.com")</f>
        <v>dammytop2004@yahoo.com</v>
      </c>
      <c r="F25" s="161">
        <v>8034168335</v>
      </c>
      <c r="G25" s="161">
        <v>8098168335</v>
      </c>
      <c r="H25" s="162">
        <v>40222</v>
      </c>
      <c r="I25" s="159" t="s">
        <v>1000</v>
      </c>
      <c r="J25" s="159"/>
      <c r="K25" s="159"/>
      <c r="L25" s="163"/>
      <c r="M25" s="164"/>
      <c r="N25" s="165"/>
    </row>
    <row r="26" spans="2:14" ht="30">
      <c r="B26" s="159">
        <v>16</v>
      </c>
      <c r="C26" s="159" t="s">
        <v>1001</v>
      </c>
      <c r="D26" s="159"/>
      <c r="E26" s="160" t="str">
        <f>HYPERLINK("mailto:teejaybros@yahoo.com","teejaybros@yahoo.com")</f>
        <v>teejaybros@yahoo.com</v>
      </c>
      <c r="F26" s="161">
        <v>8062279763</v>
      </c>
      <c r="G26" s="161"/>
      <c r="H26" s="162">
        <v>40231</v>
      </c>
      <c r="I26" s="159" t="s">
        <v>1002</v>
      </c>
      <c r="J26" s="159"/>
      <c r="K26" s="159" t="s">
        <v>971</v>
      </c>
      <c r="L26" s="163"/>
      <c r="M26" s="164"/>
      <c r="N26" s="165"/>
    </row>
    <row r="27" spans="2:14" ht="45">
      <c r="B27" s="159">
        <v>17</v>
      </c>
      <c r="C27" s="159" t="s">
        <v>1003</v>
      </c>
      <c r="D27" s="159"/>
      <c r="E27" s="160" t="str">
        <f>HYPERLINK("mailto:maolus2010@yahoo.com","maolus2010@yahoo.com")</f>
        <v>maolus2010@yahoo.com</v>
      </c>
      <c r="F27" s="161">
        <v>8067907065</v>
      </c>
      <c r="G27" s="161"/>
      <c r="H27" s="162">
        <v>40233</v>
      </c>
      <c r="I27" s="159" t="s">
        <v>1004</v>
      </c>
      <c r="J27" s="159"/>
      <c r="K27" s="159" t="s">
        <v>971</v>
      </c>
      <c r="L27" s="163"/>
      <c r="M27" s="164"/>
      <c r="N27" s="165"/>
    </row>
    <row r="28" spans="2:14">
      <c r="B28" s="159">
        <v>18</v>
      </c>
      <c r="C28" s="159" t="s">
        <v>1005</v>
      </c>
      <c r="D28" s="159"/>
      <c r="E28" s="160" t="str">
        <f>HYPERLINK("mailto:rhoteh@gmail.com","rhoteh@gmail.com")</f>
        <v>rhoteh@gmail.com</v>
      </c>
      <c r="F28" s="161">
        <v>7067812964</v>
      </c>
      <c r="G28" s="161"/>
      <c r="H28" s="162">
        <v>40235</v>
      </c>
      <c r="I28" s="159" t="s">
        <v>1002</v>
      </c>
      <c r="J28" s="159"/>
      <c r="K28" s="159" t="s">
        <v>974</v>
      </c>
      <c r="L28" s="163"/>
      <c r="M28" s="164"/>
      <c r="N28" s="165"/>
    </row>
    <row r="29" spans="2:14" ht="30">
      <c r="B29" s="159">
        <v>19</v>
      </c>
      <c r="C29" s="159" t="s">
        <v>1006</v>
      </c>
      <c r="D29" s="159"/>
      <c r="E29" s="160" t="str">
        <f>HYPERLINK("mailto:bissynol@yahoo.co.uk","bissynol@yahoo.co.uk")</f>
        <v>bissynol@yahoo.co.uk</v>
      </c>
      <c r="F29" s="161">
        <v>8030781684</v>
      </c>
      <c r="G29" s="161"/>
      <c r="H29" s="162">
        <v>40237</v>
      </c>
      <c r="I29" s="159" t="s">
        <v>1007</v>
      </c>
      <c r="J29" s="159"/>
      <c r="K29" s="159"/>
      <c r="L29" s="163"/>
      <c r="M29" s="164"/>
      <c r="N29" s="165"/>
    </row>
    <row r="30" spans="2:14" ht="30">
      <c r="B30" s="159">
        <v>20</v>
      </c>
      <c r="C30" s="159" t="s">
        <v>1008</v>
      </c>
      <c r="D30" s="159"/>
      <c r="E30" s="160" t="str">
        <f>HYPERLINK("mailto:dabelovedtech@yahoo.com","dabelovedtech@yahoo.com")</f>
        <v>dabelovedtech@yahoo.com</v>
      </c>
      <c r="F30" s="161">
        <v>8134055749</v>
      </c>
      <c r="G30" s="161">
        <v>8057865721</v>
      </c>
      <c r="H30" s="162">
        <v>40245</v>
      </c>
      <c r="I30" s="159" t="s">
        <v>1009</v>
      </c>
      <c r="J30" s="159"/>
      <c r="K30" s="159" t="s">
        <v>1010</v>
      </c>
      <c r="L30" s="163"/>
      <c r="M30" s="164"/>
      <c r="N30" s="165"/>
    </row>
    <row r="31" spans="2:14" ht="45">
      <c r="B31" s="159">
        <v>21</v>
      </c>
      <c r="C31" s="159" t="s">
        <v>1011</v>
      </c>
      <c r="D31" s="159"/>
      <c r="E31" s="160" t="str">
        <f>HYPERLINK("mailto:taiwokudehinbu@yahoo.co.uk","taiwokudehinbu@yahoo.co.uk")</f>
        <v>taiwokudehinbu@yahoo.co.uk</v>
      </c>
      <c r="F31" s="161">
        <v>7033954323</v>
      </c>
      <c r="G31" s="161">
        <v>8182114122</v>
      </c>
      <c r="H31" s="162">
        <v>40246</v>
      </c>
      <c r="I31" s="159" t="s">
        <v>1012</v>
      </c>
      <c r="J31" s="159"/>
      <c r="K31" s="159" t="s">
        <v>974</v>
      </c>
      <c r="L31" s="163"/>
      <c r="M31" s="164"/>
      <c r="N31" s="165"/>
    </row>
    <row r="32" spans="2:14" ht="30">
      <c r="B32" s="159">
        <v>22</v>
      </c>
      <c r="C32" s="159" t="s">
        <v>1013</v>
      </c>
      <c r="D32" s="159"/>
      <c r="E32" s="160" t="str">
        <f>HYPERLINK("mailto:fumi4real212@yahoo.com","fumi4real212@yahoo.com")</f>
        <v>fumi4real212@yahoo.com</v>
      </c>
      <c r="F32" s="161">
        <v>8067647317</v>
      </c>
      <c r="G32" s="161"/>
      <c r="H32" s="162">
        <v>40261</v>
      </c>
      <c r="I32" s="159" t="s">
        <v>1014</v>
      </c>
      <c r="J32" s="159"/>
      <c r="K32" s="159" t="s">
        <v>971</v>
      </c>
      <c r="L32" s="163"/>
      <c r="M32" s="164"/>
      <c r="N32" s="165"/>
    </row>
    <row r="33" spans="2:14" ht="30">
      <c r="B33" s="159">
        <v>23</v>
      </c>
      <c r="C33" s="159" t="s">
        <v>1015</v>
      </c>
      <c r="D33" s="159"/>
      <c r="E33" s="160" t="str">
        <f>HYPERLINK("mailto:kemzychem@yahoo.com","kemzychem@yahoo.com")</f>
        <v>kemzychem@yahoo.com</v>
      </c>
      <c r="F33" s="161">
        <v>8063123886</v>
      </c>
      <c r="G33" s="161"/>
      <c r="H33" s="162">
        <v>40263</v>
      </c>
      <c r="I33" s="159"/>
      <c r="J33" s="159"/>
      <c r="K33" s="159"/>
      <c r="L33" s="163"/>
      <c r="M33" s="164"/>
      <c r="N33" s="165"/>
    </row>
    <row r="34" spans="2:14" ht="60">
      <c r="B34" s="159">
        <v>24</v>
      </c>
      <c r="C34" s="166" t="s">
        <v>1016</v>
      </c>
      <c r="D34" s="166" t="s">
        <v>1017</v>
      </c>
      <c r="E34" s="167" t="s">
        <v>1018</v>
      </c>
      <c r="F34" s="168">
        <v>8038556197</v>
      </c>
      <c r="G34" s="168">
        <v>8152756113</v>
      </c>
      <c r="H34" s="169">
        <v>40269</v>
      </c>
      <c r="I34" s="166" t="s">
        <v>1019</v>
      </c>
      <c r="J34" s="166" t="s">
        <v>1020</v>
      </c>
      <c r="K34" s="166" t="s">
        <v>1021</v>
      </c>
      <c r="L34" s="170"/>
      <c r="M34" s="171" t="s">
        <v>1022</v>
      </c>
      <c r="N34" s="165"/>
    </row>
    <row r="35" spans="2:14" ht="30">
      <c r="B35" s="159">
        <v>25</v>
      </c>
      <c r="C35" s="159" t="s">
        <v>1023</v>
      </c>
      <c r="D35" s="159"/>
      <c r="E35" s="160" t="str">
        <f>HYPERLINK("mailto:tudnoxzyl@yahoo.com","tudnoxzyl@yahoo.com")</f>
        <v>tudnoxzyl@yahoo.com</v>
      </c>
      <c r="F35" s="161">
        <v>7034418331</v>
      </c>
      <c r="G35" s="161"/>
      <c r="H35" s="162">
        <v>40269</v>
      </c>
      <c r="I35" s="159" t="s">
        <v>1024</v>
      </c>
      <c r="J35" s="159"/>
      <c r="K35" s="159" t="s">
        <v>974</v>
      </c>
      <c r="L35" s="163"/>
      <c r="M35" s="164"/>
      <c r="N35" s="165"/>
    </row>
    <row r="36" spans="2:14">
      <c r="B36" s="159">
        <v>26</v>
      </c>
      <c r="C36" s="159" t="s">
        <v>1025</v>
      </c>
      <c r="D36" s="159"/>
      <c r="E36" s="160" t="str">
        <f>HYPERLINK("mailto:tunman@yahoo.com","tunman@yahoo.com")</f>
        <v>tunman@yahoo.com</v>
      </c>
      <c r="F36" s="161">
        <v>8067907417</v>
      </c>
      <c r="G36" s="161"/>
      <c r="H36" s="162">
        <v>40271</v>
      </c>
      <c r="I36" s="159" t="s">
        <v>1026</v>
      </c>
      <c r="J36" s="159"/>
      <c r="K36" s="159" t="s">
        <v>971</v>
      </c>
      <c r="L36" s="163"/>
      <c r="M36" s="164"/>
      <c r="N36" s="165"/>
    </row>
    <row r="37" spans="2:14" ht="30">
      <c r="B37" s="159">
        <v>27</v>
      </c>
      <c r="C37" s="159" t="s">
        <v>1027</v>
      </c>
      <c r="D37" s="159"/>
      <c r="E37" s="160" t="str">
        <f>HYPERLINK("mailto:olisaadewalek@yahoo.com","olisaadewalek@yahoo.com")</f>
        <v>olisaadewalek@yahoo.com</v>
      </c>
      <c r="F37" s="161">
        <v>8065217533</v>
      </c>
      <c r="G37" s="161"/>
      <c r="H37" s="162">
        <v>40272</v>
      </c>
      <c r="I37" s="159" t="s">
        <v>1028</v>
      </c>
      <c r="J37" s="159"/>
      <c r="K37" s="159" t="s">
        <v>1029</v>
      </c>
      <c r="L37" s="163"/>
      <c r="M37" s="164"/>
      <c r="N37" s="165"/>
    </row>
    <row r="38" spans="2:14" ht="30">
      <c r="B38" s="166">
        <v>28</v>
      </c>
      <c r="C38" s="166" t="s">
        <v>1030</v>
      </c>
      <c r="D38" s="166" t="s">
        <v>1031</v>
      </c>
      <c r="E38" s="167" t="str">
        <f>HYPERLINK("mailto:temmypiano@yahoo.com","temmypiano@yahoo.com")</f>
        <v>temmypiano@yahoo.com</v>
      </c>
      <c r="F38" s="168">
        <v>7033320543</v>
      </c>
      <c r="G38" s="168">
        <v>8082567096</v>
      </c>
      <c r="H38" s="169">
        <v>40272</v>
      </c>
      <c r="I38" s="166" t="s">
        <v>1032</v>
      </c>
      <c r="J38" s="166"/>
      <c r="K38" s="166" t="s">
        <v>974</v>
      </c>
      <c r="L38" s="170" t="s">
        <v>1033</v>
      </c>
      <c r="M38" s="164"/>
      <c r="N38" s="165"/>
    </row>
    <row r="39" spans="2:14" ht="60">
      <c r="B39" s="166">
        <v>29</v>
      </c>
      <c r="C39" s="166" t="s">
        <v>1034</v>
      </c>
      <c r="D39" s="166" t="s">
        <v>1035</v>
      </c>
      <c r="E39" s="167" t="str">
        <f>HYPERLINK("mailto:femmyland@yahoo.com","femmyland@yahoo.com")</f>
        <v>femmyland@yahoo.com</v>
      </c>
      <c r="F39" s="168">
        <v>8053826919</v>
      </c>
      <c r="G39" s="168">
        <v>8038729768</v>
      </c>
      <c r="H39" s="169">
        <v>40272</v>
      </c>
      <c r="I39" s="166" t="s">
        <v>1036</v>
      </c>
      <c r="J39" s="166" t="s">
        <v>1037</v>
      </c>
      <c r="K39" s="166" t="s">
        <v>967</v>
      </c>
      <c r="L39" s="170" t="s">
        <v>1033</v>
      </c>
      <c r="M39" s="171" t="s">
        <v>1038</v>
      </c>
      <c r="N39" s="172" t="s">
        <v>1039</v>
      </c>
    </row>
    <row r="40" spans="2:14" ht="30">
      <c r="B40" s="159">
        <v>30</v>
      </c>
      <c r="C40" s="159" t="s">
        <v>1040</v>
      </c>
      <c r="D40" s="159"/>
      <c r="E40" s="160" t="str">
        <f>HYPERLINK("mailto:chinedu2rule@yahoo.com","chinedu2rule@yahoo.com")</f>
        <v>chinedu2rule@yahoo.com</v>
      </c>
      <c r="F40" s="161">
        <v>7032270917</v>
      </c>
      <c r="G40" s="161" t="s">
        <v>1041</v>
      </c>
      <c r="H40" s="162">
        <v>40273</v>
      </c>
      <c r="I40" s="159" t="s">
        <v>1042</v>
      </c>
      <c r="J40" s="159"/>
      <c r="K40" s="159" t="s">
        <v>997</v>
      </c>
      <c r="L40" s="163"/>
      <c r="M40" s="164"/>
      <c r="N40" s="165"/>
    </row>
    <row r="41" spans="2:14">
      <c r="B41" s="159">
        <v>31</v>
      </c>
      <c r="C41" s="159" t="s">
        <v>1043</v>
      </c>
      <c r="D41" s="159"/>
      <c r="E41" s="160"/>
      <c r="F41" s="161">
        <v>8035273655</v>
      </c>
      <c r="G41" s="161"/>
      <c r="H41" s="162">
        <v>40273</v>
      </c>
      <c r="I41" s="159"/>
      <c r="J41" s="159"/>
      <c r="K41" s="159"/>
      <c r="L41" s="163"/>
      <c r="M41" s="164"/>
      <c r="N41" s="165"/>
    </row>
    <row r="42" spans="2:14" ht="30">
      <c r="B42" s="159">
        <v>32</v>
      </c>
      <c r="C42" s="159" t="s">
        <v>1044</v>
      </c>
      <c r="D42" s="159"/>
      <c r="E42" s="160" t="str">
        <f>HYPERLINK("mailto:nikmay03@yahoo.com","nikmay03@yahoo.com")</f>
        <v>nikmay03@yahoo.com</v>
      </c>
      <c r="F42" s="161">
        <v>8062836269</v>
      </c>
      <c r="G42" s="161"/>
      <c r="H42" s="162">
        <v>40274</v>
      </c>
      <c r="I42" s="159" t="s">
        <v>1045</v>
      </c>
      <c r="J42" s="159"/>
      <c r="K42" s="159" t="s">
        <v>974</v>
      </c>
      <c r="L42" s="163"/>
      <c r="M42" s="164"/>
      <c r="N42" s="165"/>
    </row>
    <row r="43" spans="2:14" ht="45">
      <c r="B43" s="159">
        <v>33</v>
      </c>
      <c r="C43" s="159" t="s">
        <v>1046</v>
      </c>
      <c r="D43" s="159"/>
      <c r="E43" s="160" t="str">
        <f>HYPERLINK("mailto:toussier01@yahoo.com","toussier01@yahoo.com")</f>
        <v>toussier01@yahoo.com</v>
      </c>
      <c r="F43" s="161">
        <v>8067117237</v>
      </c>
      <c r="G43" s="161"/>
      <c r="H43" s="162">
        <v>40275</v>
      </c>
      <c r="I43" s="159" t="s">
        <v>1047</v>
      </c>
      <c r="J43" s="159"/>
      <c r="K43" s="159" t="s">
        <v>974</v>
      </c>
      <c r="L43" s="163"/>
      <c r="M43" s="164"/>
      <c r="N43" s="165"/>
    </row>
    <row r="44" spans="2:14" ht="45">
      <c r="B44" s="159">
        <v>34</v>
      </c>
      <c r="C44" s="159" t="s">
        <v>1048</v>
      </c>
      <c r="D44" s="159"/>
      <c r="E44" s="160" t="str">
        <f>HYPERLINK("mailto:odanyebunmi@yahoo.com","odanyebunmi@yahoo.com")</f>
        <v>odanyebunmi@yahoo.com</v>
      </c>
      <c r="F44" s="161">
        <v>8062795444</v>
      </c>
      <c r="G44" s="161">
        <v>8028966406</v>
      </c>
      <c r="H44" s="162">
        <v>40276</v>
      </c>
      <c r="I44" s="159" t="s">
        <v>1049</v>
      </c>
      <c r="J44" s="159"/>
      <c r="K44" s="159" t="s">
        <v>1021</v>
      </c>
      <c r="L44" s="163" t="s">
        <v>978</v>
      </c>
      <c r="M44" s="164"/>
      <c r="N44" s="165"/>
    </row>
    <row r="45" spans="2:14" ht="30">
      <c r="B45" s="159">
        <v>35</v>
      </c>
      <c r="C45" s="159" t="s">
        <v>1050</v>
      </c>
      <c r="D45" s="159"/>
      <c r="E45" s="160" t="str">
        <f>HYPERLINK("mailto:omoodewole@yahoo.com","omoodewole@yahoo.com")</f>
        <v>omoodewole@yahoo.com</v>
      </c>
      <c r="F45" s="161">
        <v>8132366272</v>
      </c>
      <c r="G45" s="161">
        <v>8063222359</v>
      </c>
      <c r="H45" s="162">
        <v>40277</v>
      </c>
      <c r="I45" s="159"/>
      <c r="J45" s="159"/>
      <c r="K45" s="159" t="s">
        <v>1051</v>
      </c>
      <c r="L45" s="163"/>
      <c r="M45" s="164"/>
      <c r="N45" s="165"/>
    </row>
    <row r="46" spans="2:14" ht="45">
      <c r="B46" s="159">
        <v>36</v>
      </c>
      <c r="C46" s="159" t="s">
        <v>1052</v>
      </c>
      <c r="D46" s="159"/>
      <c r="E46" s="160" t="str">
        <f>HYPERLINK("mailto:ife.areola@yahoo.com","ife.areola@yahoo.com")</f>
        <v>ife.areola@yahoo.com</v>
      </c>
      <c r="F46" s="161">
        <v>8066154302</v>
      </c>
      <c r="G46" s="161"/>
      <c r="H46" s="162">
        <v>40292</v>
      </c>
      <c r="I46" s="159" t="s">
        <v>1053</v>
      </c>
      <c r="J46" s="159"/>
      <c r="K46" s="159" t="s">
        <v>1054</v>
      </c>
      <c r="L46" s="163"/>
      <c r="M46" s="164"/>
      <c r="N46" s="165"/>
    </row>
    <row r="47" spans="2:14" ht="45">
      <c r="B47" s="159">
        <v>37</v>
      </c>
      <c r="C47" s="159" t="s">
        <v>1055</v>
      </c>
      <c r="D47" s="159"/>
      <c r="E47" s="160" t="str">
        <f>HYPERLINK("mailto:ayodeejoo4luv06@yahoo.com","ayodeejoo4luv06@yahoo.com")</f>
        <v>ayodeejoo4luv06@yahoo.com</v>
      </c>
      <c r="F47" s="161">
        <v>8038128263</v>
      </c>
      <c r="G47" s="161"/>
      <c r="H47" s="162">
        <v>40292</v>
      </c>
      <c r="I47" s="159" t="s">
        <v>1056</v>
      </c>
      <c r="J47" s="159"/>
      <c r="K47" s="159" t="s">
        <v>971</v>
      </c>
      <c r="L47" s="163"/>
      <c r="M47" s="164"/>
      <c r="N47" s="165"/>
    </row>
    <row r="48" spans="2:14" ht="45">
      <c r="B48" s="159">
        <v>38</v>
      </c>
      <c r="C48" s="159" t="s">
        <v>1057</v>
      </c>
      <c r="D48" s="159"/>
      <c r="E48" s="160" t="str">
        <f>HYPERLINK("mailto:kool_fm4real@yahoo.com","kool_fm4real@yahoo.com")</f>
        <v>kool_fm4real@yahoo.com</v>
      </c>
      <c r="F48" s="161">
        <v>7032716420</v>
      </c>
      <c r="G48" s="161">
        <v>8095963667</v>
      </c>
      <c r="H48" s="162">
        <v>40294</v>
      </c>
      <c r="I48" s="159" t="s">
        <v>1058</v>
      </c>
      <c r="J48" s="159"/>
      <c r="K48" s="159" t="s">
        <v>974</v>
      </c>
      <c r="L48" s="163"/>
      <c r="M48" s="164"/>
      <c r="N48" s="165"/>
    </row>
    <row r="49" spans="2:14" ht="45">
      <c r="B49" s="159">
        <v>39</v>
      </c>
      <c r="C49" s="159" t="s">
        <v>1059</v>
      </c>
      <c r="D49" s="159"/>
      <c r="E49" s="160" t="str">
        <f>HYPERLINK("mailto:tobore2_ng@yahoo.com","tobore2_ng@yahoo.com")</f>
        <v>tobore2_ng@yahoo.com</v>
      </c>
      <c r="F49" s="161">
        <v>7063316938</v>
      </c>
      <c r="G49" s="161"/>
      <c r="H49" s="162">
        <v>41026</v>
      </c>
      <c r="I49" s="159" t="s">
        <v>1060</v>
      </c>
      <c r="J49" s="159"/>
      <c r="K49" s="159" t="s">
        <v>1061</v>
      </c>
      <c r="L49" s="163"/>
      <c r="M49" s="164"/>
      <c r="N49" s="165"/>
    </row>
    <row r="50" spans="2:14" ht="45">
      <c r="B50" s="166">
        <v>39</v>
      </c>
      <c r="C50" s="166" t="s">
        <v>1062</v>
      </c>
      <c r="D50" s="166" t="s">
        <v>1063</v>
      </c>
      <c r="E50" s="167" t="str">
        <f>HYPERLINK("mailto:aeamoo5@gmail.com","aeamoo5@gmail.com, seun_strup4luv@yahoo.com")</f>
        <v>aeamoo5@gmail.com, seun_strup4luv@yahoo.com</v>
      </c>
      <c r="F50" s="168">
        <v>8029096564</v>
      </c>
      <c r="G50" s="168" t="s">
        <v>1064</v>
      </c>
      <c r="H50" s="169">
        <v>40302</v>
      </c>
      <c r="I50" s="166" t="s">
        <v>1065</v>
      </c>
      <c r="J50" s="166"/>
      <c r="K50" s="166" t="s">
        <v>967</v>
      </c>
      <c r="L50" s="170" t="s">
        <v>978</v>
      </c>
      <c r="M50" s="164"/>
      <c r="N50" s="165" t="s">
        <v>1066</v>
      </c>
    </row>
    <row r="51" spans="2:14" ht="45">
      <c r="B51" s="159">
        <v>40</v>
      </c>
      <c r="C51" s="159" t="s">
        <v>1067</v>
      </c>
      <c r="D51" s="159"/>
      <c r="E51" s="160" t="str">
        <f>HYPERLINK("mailto:olomotola@yahoo.com","olomotola@yahoo.com")</f>
        <v>olomotola@yahoo.com</v>
      </c>
      <c r="F51" s="161">
        <v>7032769232</v>
      </c>
      <c r="G51" s="161"/>
      <c r="H51" s="162">
        <v>40307</v>
      </c>
      <c r="I51" s="159" t="s">
        <v>1068</v>
      </c>
      <c r="J51" s="159"/>
      <c r="K51" s="159" t="s">
        <v>1051</v>
      </c>
      <c r="L51" s="163"/>
      <c r="M51" s="164"/>
      <c r="N51" s="165"/>
    </row>
    <row r="52" spans="2:14" ht="45">
      <c r="B52" s="159">
        <v>41</v>
      </c>
      <c r="C52" s="159" t="s">
        <v>1069</v>
      </c>
      <c r="D52" s="159"/>
      <c r="E52" s="160" t="str">
        <f>HYPERLINK("mailto:betiku@yahoo.com","betiku@yahoo.com")</f>
        <v>betiku@yahoo.com</v>
      </c>
      <c r="F52" s="161">
        <v>8035889802</v>
      </c>
      <c r="G52" s="161"/>
      <c r="H52" s="162">
        <v>40307</v>
      </c>
      <c r="I52" s="159" t="s">
        <v>1070</v>
      </c>
      <c r="J52" s="159"/>
      <c r="K52" s="159" t="s">
        <v>974</v>
      </c>
      <c r="L52" s="163"/>
      <c r="M52" s="164"/>
      <c r="N52" s="165"/>
    </row>
    <row r="53" spans="2:14" ht="30">
      <c r="B53" s="159">
        <v>42</v>
      </c>
      <c r="C53" s="159" t="s">
        <v>1071</v>
      </c>
      <c r="D53" s="159"/>
      <c r="E53" s="160" t="str">
        <f>HYPERLINK("mailto:omolaraadelugba@yahoo.com","omolaraadelugba@yahoo.com")</f>
        <v>omolaraadelugba@yahoo.com</v>
      </c>
      <c r="F53" s="161">
        <v>8060714709</v>
      </c>
      <c r="G53" s="161"/>
      <c r="H53" s="162">
        <v>40310</v>
      </c>
      <c r="I53" s="159" t="s">
        <v>1072</v>
      </c>
      <c r="J53" s="159"/>
      <c r="K53" s="159"/>
      <c r="L53" s="163"/>
      <c r="M53" s="164"/>
      <c r="N53" s="165"/>
    </row>
    <row r="54" spans="2:14" ht="30">
      <c r="B54" s="159">
        <v>43</v>
      </c>
      <c r="C54" s="159" t="s">
        <v>1073</v>
      </c>
      <c r="D54" s="159"/>
      <c r="E54" s="160" t="str">
        <f>HYPERLINK("mailto:lekeoluwaleye@yahoo.com","lekeoluwaleye@yahoo.com")</f>
        <v>lekeoluwaleye@yahoo.com</v>
      </c>
      <c r="F54" s="161">
        <v>8063040378</v>
      </c>
      <c r="G54" s="161"/>
      <c r="H54" s="162">
        <v>40312</v>
      </c>
      <c r="I54" s="159"/>
      <c r="J54" s="159"/>
      <c r="K54" s="159"/>
      <c r="L54" s="163"/>
      <c r="M54" s="164"/>
      <c r="N54" s="165"/>
    </row>
    <row r="55" spans="2:14" ht="45">
      <c r="B55" s="159">
        <v>44</v>
      </c>
      <c r="C55" s="159" t="s">
        <v>1074</v>
      </c>
      <c r="D55" s="159"/>
      <c r="E55" s="160" t="str">
        <f>HYPERLINK("mailto:kemistry6320@yahoo.com","kemistry6320@yahoo.com")</f>
        <v>kemistry6320@yahoo.com</v>
      </c>
      <c r="F55" s="161">
        <v>7037845020</v>
      </c>
      <c r="G55" s="161">
        <v>7092440673</v>
      </c>
      <c r="H55" s="162">
        <v>40314</v>
      </c>
      <c r="I55" s="159" t="s">
        <v>1075</v>
      </c>
      <c r="J55" s="159"/>
      <c r="K55" s="159" t="s">
        <v>974</v>
      </c>
      <c r="L55" s="163"/>
      <c r="M55" s="164"/>
      <c r="N55" s="165"/>
    </row>
    <row r="56" spans="2:14" ht="30">
      <c r="B56" s="159">
        <v>45</v>
      </c>
      <c r="C56" s="159" t="s">
        <v>1076</v>
      </c>
      <c r="D56" s="159"/>
      <c r="E56" s="160" t="str">
        <f>HYPERLINK("mailto:mojiasho@yahoo.com","mojiasho@yahoo.com")</f>
        <v>mojiasho@yahoo.com</v>
      </c>
      <c r="F56" s="161">
        <v>8064383679</v>
      </c>
      <c r="G56" s="161"/>
      <c r="H56" s="162">
        <v>40314</v>
      </c>
      <c r="I56" s="159" t="s">
        <v>1077</v>
      </c>
      <c r="J56" s="159"/>
      <c r="K56" s="159" t="s">
        <v>974</v>
      </c>
      <c r="L56" s="163"/>
      <c r="M56" s="164"/>
      <c r="N56" s="165"/>
    </row>
    <row r="57" spans="2:14" ht="45">
      <c r="B57" s="159">
        <v>46</v>
      </c>
      <c r="C57" s="159" t="s">
        <v>1078</v>
      </c>
      <c r="D57" s="159" t="s">
        <v>1079</v>
      </c>
      <c r="E57" s="160" t="str">
        <f>HYPERLINK("mailto:toluowobumuyi@yahoo.com","toluowobumuyi@yahoo.com")</f>
        <v>toluowobumuyi@yahoo.com</v>
      </c>
      <c r="F57" s="161">
        <v>8038089626</v>
      </c>
      <c r="G57" s="161"/>
      <c r="H57" s="162">
        <v>41048</v>
      </c>
      <c r="I57" s="159" t="s">
        <v>1080</v>
      </c>
      <c r="J57" s="159" t="s">
        <v>1081</v>
      </c>
      <c r="K57" s="159" t="s">
        <v>974</v>
      </c>
      <c r="L57" s="163" t="s">
        <v>968</v>
      </c>
      <c r="M57" s="164"/>
      <c r="N57" s="165"/>
    </row>
    <row r="58" spans="2:14">
      <c r="B58" s="159">
        <v>47</v>
      </c>
      <c r="C58" s="159" t="s">
        <v>1082</v>
      </c>
      <c r="D58" s="159"/>
      <c r="E58" s="160" t="str">
        <f>HYPERLINK("mailto:zecloid@yahoo.com","zecloid@yahoo.com")</f>
        <v>zecloid@yahoo.com</v>
      </c>
      <c r="F58" s="161">
        <v>8023503685</v>
      </c>
      <c r="G58" s="161"/>
      <c r="H58" s="162">
        <v>40318</v>
      </c>
      <c r="I58" s="159"/>
      <c r="J58" s="159"/>
      <c r="K58" s="159"/>
      <c r="L58" s="163"/>
      <c r="M58" s="164"/>
      <c r="N58" s="165"/>
    </row>
    <row r="59" spans="2:14" ht="30">
      <c r="B59" s="159">
        <v>48</v>
      </c>
      <c r="C59" s="159" t="s">
        <v>1083</v>
      </c>
      <c r="D59" s="159"/>
      <c r="E59" s="160" t="str">
        <f>HYPERLINK("mailto:buscolaplace@yahoo.com","buscolaplace@yahoo.com")</f>
        <v>buscolaplace@yahoo.com</v>
      </c>
      <c r="F59" s="161">
        <v>7039585074</v>
      </c>
      <c r="G59" s="161"/>
      <c r="H59" s="162">
        <v>40325</v>
      </c>
      <c r="I59" s="159" t="s">
        <v>1084</v>
      </c>
      <c r="J59" s="159"/>
      <c r="K59" s="159" t="s">
        <v>974</v>
      </c>
      <c r="L59" s="163"/>
      <c r="M59" s="164"/>
      <c r="N59" s="165"/>
    </row>
    <row r="60" spans="2:14" ht="45">
      <c r="B60" s="159">
        <v>49</v>
      </c>
      <c r="C60" s="159" t="s">
        <v>1085</v>
      </c>
      <c r="D60" s="159"/>
      <c r="E60" s="160" t="str">
        <f>HYPERLINK("mailto:duro2heart@yahoo.com","duro2heart@yahoo.com")</f>
        <v>duro2heart@yahoo.com</v>
      </c>
      <c r="F60" s="161">
        <v>7033385160</v>
      </c>
      <c r="G60" s="161">
        <v>8076000613</v>
      </c>
      <c r="H60" s="162">
        <v>40332</v>
      </c>
      <c r="I60" s="159" t="s">
        <v>1086</v>
      </c>
      <c r="J60" s="159"/>
      <c r="K60" s="159" t="s">
        <v>1054</v>
      </c>
      <c r="L60" s="163"/>
      <c r="M60" s="164"/>
      <c r="N60" s="165"/>
    </row>
    <row r="61" spans="2:14" ht="45">
      <c r="B61" s="159">
        <v>50</v>
      </c>
      <c r="C61" s="159" t="s">
        <v>1087</v>
      </c>
      <c r="D61" s="159"/>
      <c r="E61" s="160" t="str">
        <f>HYPERLINK("mailto:wonos95@yahoo.com","wonos95@yahoo.com")</f>
        <v>wonos95@yahoo.com</v>
      </c>
      <c r="F61" s="161">
        <v>8038226584</v>
      </c>
      <c r="G61" s="161">
        <v>8029339667</v>
      </c>
      <c r="H61" s="162">
        <v>40333</v>
      </c>
      <c r="I61" s="159" t="s">
        <v>1088</v>
      </c>
      <c r="J61" s="159"/>
      <c r="K61" s="159" t="s">
        <v>997</v>
      </c>
      <c r="L61" s="163"/>
      <c r="M61" s="164"/>
      <c r="N61" s="165"/>
    </row>
    <row r="62" spans="2:14" ht="30">
      <c r="B62" s="159">
        <v>51</v>
      </c>
      <c r="C62" s="159" t="s">
        <v>1089</v>
      </c>
      <c r="D62" s="159"/>
      <c r="E62" s="160" t="str">
        <f>HYPERLINK("mailto:calldamie4luv@yahoo.com","calldamie4luv@yahoo.com")</f>
        <v>calldamie4luv@yahoo.com</v>
      </c>
      <c r="F62" s="161">
        <v>8068303506</v>
      </c>
      <c r="G62" s="161">
        <v>7027183868</v>
      </c>
      <c r="H62" s="162">
        <v>40339</v>
      </c>
      <c r="I62" s="159" t="s">
        <v>1090</v>
      </c>
      <c r="J62" s="159"/>
      <c r="K62" s="159" t="s">
        <v>974</v>
      </c>
      <c r="L62" s="163"/>
      <c r="M62" s="164"/>
      <c r="N62" s="165"/>
    </row>
    <row r="63" spans="2:14" ht="45">
      <c r="B63" s="159">
        <v>52</v>
      </c>
      <c r="C63" s="159" t="s">
        <v>1091</v>
      </c>
      <c r="D63" s="159"/>
      <c r="E63" s="160" t="str">
        <f>HYPERLINK("mailto:lizrichola@yahoo.com","lizrichola@yahoo.com")</f>
        <v>lizrichola@yahoo.com</v>
      </c>
      <c r="F63" s="161">
        <v>7035015251</v>
      </c>
      <c r="G63" s="161"/>
      <c r="H63" s="162">
        <v>40344</v>
      </c>
      <c r="I63" s="159" t="s">
        <v>1092</v>
      </c>
      <c r="J63" s="159"/>
      <c r="K63" s="159" t="s">
        <v>974</v>
      </c>
      <c r="L63" s="163" t="s">
        <v>978</v>
      </c>
      <c r="M63" s="164"/>
      <c r="N63" s="165"/>
    </row>
    <row r="64" spans="2:14" ht="30">
      <c r="B64" s="159">
        <v>53</v>
      </c>
      <c r="C64" s="159" t="s">
        <v>1093</v>
      </c>
      <c r="D64" s="159"/>
      <c r="E64" s="160" t="str">
        <f>HYPERLINK("mailto:sarah.abosede@yahoo.com","sarah.abosede@yahoo.com")</f>
        <v>sarah.abosede@yahoo.com</v>
      </c>
      <c r="F64" s="161">
        <v>8053614608</v>
      </c>
      <c r="G64" s="161">
        <v>8032960724</v>
      </c>
      <c r="H64" s="162">
        <v>40345</v>
      </c>
      <c r="I64" s="159" t="s">
        <v>1094</v>
      </c>
      <c r="J64" s="159"/>
      <c r="K64" s="159" t="s">
        <v>974</v>
      </c>
      <c r="L64" s="163"/>
      <c r="M64" s="164"/>
      <c r="N64" s="165"/>
    </row>
    <row r="65" spans="2:14" ht="30">
      <c r="B65" s="159">
        <v>54</v>
      </c>
      <c r="C65" s="159" t="s">
        <v>1095</v>
      </c>
      <c r="D65" s="159"/>
      <c r="E65" s="160" t="str">
        <f>HYPERLINK("mailto:oladee4sure@yahoo.com","oladee4sure@yahoo.com")</f>
        <v>oladee4sure@yahoo.com</v>
      </c>
      <c r="F65" s="161">
        <v>8068457761</v>
      </c>
      <c r="G65" s="161"/>
      <c r="H65" s="162">
        <v>40347</v>
      </c>
      <c r="I65" s="159" t="s">
        <v>1096</v>
      </c>
      <c r="J65" s="159"/>
      <c r="K65" s="159" t="s">
        <v>971</v>
      </c>
      <c r="L65" s="163"/>
      <c r="M65" s="164"/>
      <c r="N65" s="165"/>
    </row>
    <row r="66" spans="2:14" ht="30">
      <c r="B66" s="166">
        <v>55</v>
      </c>
      <c r="C66" s="166" t="s">
        <v>1097</v>
      </c>
      <c r="D66" s="166"/>
      <c r="E66" s="167" t="str">
        <f>HYPERLINK("mailto:jamebiz@yahoo.co.uk","jamebiz@yahoo.co.uk")</f>
        <v>jamebiz@yahoo.co.uk</v>
      </c>
      <c r="F66" s="168">
        <v>8033703813</v>
      </c>
      <c r="G66" s="168">
        <v>7090850549</v>
      </c>
      <c r="H66" s="169">
        <v>40349</v>
      </c>
      <c r="I66" s="166" t="s">
        <v>1098</v>
      </c>
      <c r="J66" s="166" t="s">
        <v>1099</v>
      </c>
      <c r="K66" s="166" t="s">
        <v>967</v>
      </c>
      <c r="L66" s="170" t="s">
        <v>1100</v>
      </c>
      <c r="M66" s="171" t="s">
        <v>1101</v>
      </c>
      <c r="N66" s="172" t="s">
        <v>1102</v>
      </c>
    </row>
    <row r="67" spans="2:14" ht="60">
      <c r="B67" s="159">
        <v>56</v>
      </c>
      <c r="C67" s="159" t="s">
        <v>1103</v>
      </c>
      <c r="D67" s="159"/>
      <c r="E67" s="160" t="str">
        <f>HYPERLINK("mailto:babajide4u@yahoo.com","babajide4u@yahoo.com")</f>
        <v>babajide4u@yahoo.com</v>
      </c>
      <c r="F67" s="161">
        <v>8034916324</v>
      </c>
      <c r="G67" s="161"/>
      <c r="H67" s="162">
        <v>40355</v>
      </c>
      <c r="I67" s="159" t="s">
        <v>1104</v>
      </c>
      <c r="J67" s="159"/>
      <c r="K67" s="159" t="s">
        <v>1021</v>
      </c>
      <c r="L67" s="163"/>
      <c r="M67" s="164"/>
      <c r="N67" s="165"/>
    </row>
    <row r="68" spans="2:14" ht="30">
      <c r="B68" s="159">
        <v>57</v>
      </c>
      <c r="C68" s="159" t="s">
        <v>1105</v>
      </c>
      <c r="D68" s="159"/>
      <c r="E68" s="160" t="str">
        <f>HYPERLINK("mailto:sumboinfuta@yahoo.com","sumboinfuta@yahoo.com")</f>
        <v>sumboinfuta@yahoo.com</v>
      </c>
      <c r="F68" s="161">
        <v>7035755547</v>
      </c>
      <c r="G68" s="161">
        <v>8088444991</v>
      </c>
      <c r="H68" s="162">
        <v>40357</v>
      </c>
      <c r="I68" s="159" t="s">
        <v>1106</v>
      </c>
      <c r="J68" s="159"/>
      <c r="K68" s="159" t="s">
        <v>974</v>
      </c>
      <c r="L68" s="163"/>
      <c r="M68" s="164"/>
      <c r="N68" s="165"/>
    </row>
    <row r="69" spans="2:14">
      <c r="B69" s="159">
        <v>58</v>
      </c>
      <c r="C69" s="159" t="s">
        <v>1107</v>
      </c>
      <c r="D69" s="159"/>
      <c r="E69" s="160"/>
      <c r="F69" s="161">
        <v>8061202308</v>
      </c>
      <c r="G69" s="161"/>
      <c r="H69" s="162">
        <v>40357</v>
      </c>
      <c r="I69" s="159"/>
      <c r="J69" s="159"/>
      <c r="K69" s="159"/>
      <c r="L69" s="163"/>
      <c r="M69" s="164"/>
      <c r="N69" s="165"/>
    </row>
    <row r="70" spans="2:14" ht="30">
      <c r="B70" s="159">
        <v>59</v>
      </c>
      <c r="C70" s="159" t="s">
        <v>1108</v>
      </c>
      <c r="D70" s="159"/>
      <c r="E70" s="160" t="str">
        <f>HYPERLINK("mailto:adegokeolaoluwaadeniyi515@gmail.com","adegokeolaoluwaadeniyi515@gmail.com")</f>
        <v>adegokeolaoluwaadeniyi515@gmail.com</v>
      </c>
      <c r="F70" s="161">
        <v>7036536772</v>
      </c>
      <c r="G70" s="161"/>
      <c r="H70" s="162">
        <v>40359</v>
      </c>
      <c r="I70" s="159" t="s">
        <v>1109</v>
      </c>
      <c r="J70" s="159"/>
      <c r="K70" s="159"/>
      <c r="L70" s="163"/>
      <c r="M70" s="164"/>
      <c r="N70" s="165"/>
    </row>
    <row r="71" spans="2:14" ht="30">
      <c r="B71" s="159">
        <v>60</v>
      </c>
      <c r="C71" s="159" t="s">
        <v>1110</v>
      </c>
      <c r="D71" s="159"/>
      <c r="E71" s="160" t="str">
        <f>HYPERLINK("mailto:perfectjuly@ymail.com","perfectjuly@ymail.com")</f>
        <v>perfectjuly@ymail.com</v>
      </c>
      <c r="F71" s="161">
        <v>8065036743</v>
      </c>
      <c r="G71" s="161"/>
      <c r="H71" s="162">
        <v>40363</v>
      </c>
      <c r="I71" s="159" t="s">
        <v>1111</v>
      </c>
      <c r="J71" s="159"/>
      <c r="K71" s="159" t="s">
        <v>974</v>
      </c>
      <c r="L71" s="163"/>
      <c r="M71" s="164"/>
      <c r="N71" s="165"/>
    </row>
    <row r="72" spans="2:14">
      <c r="B72" s="159">
        <v>61</v>
      </c>
      <c r="C72" s="159" t="s">
        <v>1112</v>
      </c>
      <c r="D72" s="159"/>
      <c r="E72" s="160" t="str">
        <f>HYPERLINK("mailto:nuhycoolj@yahoo.com","nuhycoolj@yahoo.com")</f>
        <v>nuhycoolj@yahoo.com</v>
      </c>
      <c r="F72" s="161">
        <v>8032165888</v>
      </c>
      <c r="G72" s="161"/>
      <c r="H72" s="162">
        <v>40363</v>
      </c>
      <c r="I72" s="159" t="s">
        <v>1113</v>
      </c>
      <c r="J72" s="159"/>
      <c r="K72" s="159" t="s">
        <v>974</v>
      </c>
      <c r="L72" s="163"/>
      <c r="M72" s="164"/>
      <c r="N72" s="165"/>
    </row>
    <row r="73" spans="2:14" ht="45">
      <c r="B73" s="166">
        <v>62</v>
      </c>
      <c r="C73" s="166" t="s">
        <v>1114</v>
      </c>
      <c r="D73" s="166" t="s">
        <v>1115</v>
      </c>
      <c r="E73" s="167" t="s">
        <v>1116</v>
      </c>
      <c r="F73" s="168">
        <f>447574885638</f>
        <v>447574885638</v>
      </c>
      <c r="G73" s="168">
        <v>8137153952</v>
      </c>
      <c r="H73" s="169">
        <v>40365</v>
      </c>
      <c r="I73" s="166" t="s">
        <v>1117</v>
      </c>
      <c r="J73" s="166"/>
      <c r="K73" s="166" t="s">
        <v>1118</v>
      </c>
      <c r="L73" s="163"/>
      <c r="M73" s="164"/>
      <c r="N73" s="165"/>
    </row>
    <row r="74" spans="2:14" ht="45">
      <c r="B74" s="159">
        <v>63</v>
      </c>
      <c r="C74" s="159" t="s">
        <v>1119</v>
      </c>
      <c r="D74" s="159"/>
      <c r="E74" s="160" t="str">
        <f>HYPERLINK("mailto:thimoty007@yahoo.com","thimoty007@yahoo.com")</f>
        <v>thimoty007@yahoo.com</v>
      </c>
      <c r="F74" s="161">
        <v>8038000903</v>
      </c>
      <c r="G74" s="161"/>
      <c r="H74" s="162">
        <v>40367</v>
      </c>
      <c r="I74" s="159" t="s">
        <v>1120</v>
      </c>
      <c r="J74" s="159"/>
      <c r="K74" s="159" t="s">
        <v>967</v>
      </c>
      <c r="L74" s="163"/>
      <c r="M74" s="164"/>
      <c r="N74" s="165"/>
    </row>
    <row r="75" spans="2:14">
      <c r="B75" s="159">
        <v>64</v>
      </c>
      <c r="C75" s="159" t="s">
        <v>1121</v>
      </c>
      <c r="D75" s="159"/>
      <c r="E75" s="160"/>
      <c r="F75" s="161">
        <v>8029296157</v>
      </c>
      <c r="G75" s="161"/>
      <c r="H75" s="162">
        <v>40371</v>
      </c>
      <c r="I75" s="159" t="s">
        <v>1122</v>
      </c>
      <c r="J75" s="159"/>
      <c r="K75" s="159" t="s">
        <v>1029</v>
      </c>
      <c r="L75" s="163"/>
      <c r="M75" s="164"/>
      <c r="N75" s="165"/>
    </row>
    <row r="76" spans="2:14" ht="45">
      <c r="B76" s="159">
        <v>65</v>
      </c>
      <c r="C76" s="159" t="s">
        <v>1123</v>
      </c>
      <c r="D76" s="159"/>
      <c r="E76" s="160" t="str">
        <f>HYPERLINK("mailto:porima86@yahoo.com","porima86@yahoo.com")</f>
        <v>porima86@yahoo.com</v>
      </c>
      <c r="F76" s="161">
        <v>7084400150</v>
      </c>
      <c r="G76" s="161">
        <v>8130609563</v>
      </c>
      <c r="H76" s="162">
        <v>40372</v>
      </c>
      <c r="I76" s="159" t="s">
        <v>1124</v>
      </c>
      <c r="J76" s="159"/>
      <c r="K76" s="159" t="s">
        <v>971</v>
      </c>
      <c r="L76" s="163"/>
      <c r="M76" s="164"/>
      <c r="N76" s="165"/>
    </row>
    <row r="77" spans="2:14" ht="30">
      <c r="B77" s="159">
        <v>66</v>
      </c>
      <c r="C77" s="159" t="s">
        <v>1125</v>
      </c>
      <c r="D77" s="159"/>
      <c r="E77" s="160" t="str">
        <f>HYPERLINK("mailto:johnnery2003@yahoo.com","johnnery2003@yahoo.com")</f>
        <v>johnnery2003@yahoo.com</v>
      </c>
      <c r="F77" s="161">
        <v>8038211322</v>
      </c>
      <c r="G77" s="161"/>
      <c r="H77" s="162">
        <v>40375</v>
      </c>
      <c r="I77" s="159" t="s">
        <v>1126</v>
      </c>
      <c r="J77" s="159"/>
      <c r="K77" s="159" t="s">
        <v>974</v>
      </c>
      <c r="L77" s="163"/>
      <c r="M77" s="164"/>
      <c r="N77" s="165"/>
    </row>
    <row r="78" spans="2:14" ht="30">
      <c r="B78" s="159">
        <v>67</v>
      </c>
      <c r="C78" s="159" t="s">
        <v>1127</v>
      </c>
      <c r="D78" s="159"/>
      <c r="E78" s="160" t="str">
        <f>HYPERLINK("mailto:masekid2097@yahoo.co.uk","masekid2097@yahoo.co.uk")</f>
        <v>masekid2097@yahoo.co.uk</v>
      </c>
      <c r="F78" s="161">
        <v>8066906651</v>
      </c>
      <c r="G78" s="161"/>
      <c r="H78" s="162">
        <v>40376</v>
      </c>
      <c r="I78" s="159" t="s">
        <v>1128</v>
      </c>
      <c r="J78" s="159"/>
      <c r="K78" s="159" t="s">
        <v>967</v>
      </c>
      <c r="L78" s="163"/>
      <c r="M78" s="164"/>
      <c r="N78" s="165"/>
    </row>
    <row r="79" spans="2:14" ht="30">
      <c r="B79" s="159">
        <v>68</v>
      </c>
      <c r="C79" s="159" t="s">
        <v>1129</v>
      </c>
      <c r="D79" s="159"/>
      <c r="E79" s="160" t="str">
        <f>HYPERLINK("mailto:tumiss2002@yahoo.co.uk","tumiss2002@yahoo.co.uk")</f>
        <v>tumiss2002@yahoo.co.uk</v>
      </c>
      <c r="F79" s="161">
        <v>8068265443</v>
      </c>
      <c r="G79" s="161"/>
      <c r="H79" s="162">
        <v>40383</v>
      </c>
      <c r="I79" s="159" t="s">
        <v>1130</v>
      </c>
      <c r="J79" s="159"/>
      <c r="K79" s="159" t="s">
        <v>967</v>
      </c>
      <c r="L79" s="163"/>
      <c r="M79" s="164"/>
      <c r="N79" s="165"/>
    </row>
    <row r="80" spans="2:14" ht="45">
      <c r="B80" s="159">
        <v>69</v>
      </c>
      <c r="C80" s="159" t="s">
        <v>1131</v>
      </c>
      <c r="D80" s="159"/>
      <c r="E80" s="160" t="str">
        <f>HYPERLINK("mailto:jebsontcube@yahoo.com","jebsontcube@yahoo.com")</f>
        <v>jebsontcube@yahoo.com</v>
      </c>
      <c r="F80" s="161">
        <v>8024464301</v>
      </c>
      <c r="G80" s="161">
        <v>7065949842</v>
      </c>
      <c r="H80" s="162">
        <v>40384</v>
      </c>
      <c r="I80" s="159" t="s">
        <v>1132</v>
      </c>
      <c r="J80" s="159"/>
      <c r="K80" s="159" t="s">
        <v>967</v>
      </c>
      <c r="L80" s="163"/>
      <c r="M80" s="164"/>
      <c r="N80" s="165"/>
    </row>
    <row r="81" spans="2:14" ht="30">
      <c r="B81" s="159">
        <v>70</v>
      </c>
      <c r="C81" s="159" t="s">
        <v>1133</v>
      </c>
      <c r="D81" s="159"/>
      <c r="E81" s="160" t="str">
        <f>HYPERLINK("mailto:tducks2003@yahoo.com","tducks2003@yahoo.com")</f>
        <v>tducks2003@yahoo.com</v>
      </c>
      <c r="F81" s="161">
        <v>8050760380</v>
      </c>
      <c r="G81" s="161"/>
      <c r="H81" s="162">
        <v>40390</v>
      </c>
      <c r="I81" s="159" t="s">
        <v>1134</v>
      </c>
      <c r="J81" s="159"/>
      <c r="K81" s="159" t="s">
        <v>974</v>
      </c>
      <c r="L81" s="163"/>
      <c r="M81" s="164"/>
      <c r="N81" s="165"/>
    </row>
    <row r="82" spans="2:14" ht="45">
      <c r="B82" s="159">
        <v>71</v>
      </c>
      <c r="C82" s="159" t="s">
        <v>1135</v>
      </c>
      <c r="D82" s="159"/>
      <c r="E82" s="160" t="str">
        <f>HYPERLINK("mailto:brotherlye@yahoo.co.uk","brotherlye@yahoo.co.uk")</f>
        <v>brotherlye@yahoo.co.uk</v>
      </c>
      <c r="F82" s="161">
        <v>8066652530</v>
      </c>
      <c r="G82" s="161"/>
      <c r="H82" s="162">
        <v>40391</v>
      </c>
      <c r="I82" s="159" t="s">
        <v>1136</v>
      </c>
      <c r="J82" s="159"/>
      <c r="K82" s="159" t="s">
        <v>974</v>
      </c>
      <c r="L82" s="163"/>
      <c r="M82" s="164"/>
      <c r="N82" s="165"/>
    </row>
    <row r="83" spans="2:14" ht="60">
      <c r="B83" s="159">
        <v>72</v>
      </c>
      <c r="C83" s="159" t="s">
        <v>1137</v>
      </c>
      <c r="D83" s="159"/>
      <c r="E83" s="160"/>
      <c r="F83" s="161">
        <v>8066555144</v>
      </c>
      <c r="G83" s="161">
        <v>7057770084</v>
      </c>
      <c r="H83" s="162">
        <v>40391</v>
      </c>
      <c r="I83" s="159" t="s">
        <v>1138</v>
      </c>
      <c r="J83" s="159"/>
      <c r="K83" s="159" t="s">
        <v>1054</v>
      </c>
      <c r="L83" s="163"/>
      <c r="M83" s="164"/>
      <c r="N83" s="165"/>
    </row>
    <row r="84" spans="2:14">
      <c r="B84" s="159">
        <v>73</v>
      </c>
      <c r="C84" s="159" t="s">
        <v>1139</v>
      </c>
      <c r="D84" s="159"/>
      <c r="E84" s="160" t="str">
        <f>HYPERLINK("mailto:daniel_2@yahoo.com","daniel_2@yahoo.com")</f>
        <v>daniel_2@yahoo.com</v>
      </c>
      <c r="F84" s="161">
        <v>8034452039</v>
      </c>
      <c r="G84" s="161"/>
      <c r="H84" s="162">
        <v>40393</v>
      </c>
      <c r="I84" s="159"/>
      <c r="J84" s="159"/>
      <c r="K84" s="159"/>
      <c r="L84" s="163"/>
      <c r="M84" s="164"/>
      <c r="N84" s="165"/>
    </row>
    <row r="85" spans="2:14">
      <c r="B85" s="159">
        <v>74</v>
      </c>
      <c r="C85" s="159" t="s">
        <v>1140</v>
      </c>
      <c r="D85" s="159"/>
      <c r="E85" s="160" t="str">
        <f>HYPERLINK("mailto:funbinchi@yahoo.com","funbinchi@yahoo.com")</f>
        <v>funbinchi@yahoo.com</v>
      </c>
      <c r="F85" s="161">
        <v>8039428925</v>
      </c>
      <c r="G85" s="161"/>
      <c r="H85" s="162">
        <v>40397</v>
      </c>
      <c r="I85" s="159"/>
      <c r="J85" s="159"/>
      <c r="K85" s="159"/>
      <c r="L85" s="163"/>
      <c r="M85" s="164"/>
      <c r="N85" s="165"/>
    </row>
    <row r="86" spans="2:14" ht="45">
      <c r="B86" s="166">
        <v>75</v>
      </c>
      <c r="C86" s="166" t="s">
        <v>1141</v>
      </c>
      <c r="D86" s="166" t="s">
        <v>1141</v>
      </c>
      <c r="E86" s="167" t="s">
        <v>1142</v>
      </c>
      <c r="F86" s="168">
        <v>8037520573</v>
      </c>
      <c r="G86" s="168" t="s">
        <v>1143</v>
      </c>
      <c r="H86" s="169">
        <v>40400</v>
      </c>
      <c r="I86" s="166" t="s">
        <v>1144</v>
      </c>
      <c r="J86" s="166" t="s">
        <v>1145</v>
      </c>
      <c r="K86" s="166" t="s">
        <v>974</v>
      </c>
      <c r="L86" s="170" t="s">
        <v>1146</v>
      </c>
      <c r="M86" s="171" t="s">
        <v>1147</v>
      </c>
      <c r="N86" s="172" t="s">
        <v>1148</v>
      </c>
    </row>
    <row r="87" spans="2:14" ht="45">
      <c r="B87" s="159">
        <v>76</v>
      </c>
      <c r="C87" s="159" t="s">
        <v>1149</v>
      </c>
      <c r="D87" s="159"/>
      <c r="E87" s="160" t="str">
        <f>HYPERLINK("mailto:pmonehin@yahoo.com","pmonehin@yahoo.com")</f>
        <v>pmonehin@yahoo.com</v>
      </c>
      <c r="F87" s="161">
        <v>8068782858</v>
      </c>
      <c r="G87" s="161"/>
      <c r="H87" s="162">
        <v>40400</v>
      </c>
      <c r="I87" s="159" t="s">
        <v>1150</v>
      </c>
      <c r="J87" s="159"/>
      <c r="K87" s="159" t="s">
        <v>974</v>
      </c>
      <c r="L87" s="163"/>
      <c r="M87" s="164"/>
      <c r="N87" s="165"/>
    </row>
    <row r="88" spans="2:14" ht="30">
      <c r="B88" s="159">
        <v>77</v>
      </c>
      <c r="C88" s="159" t="s">
        <v>1151</v>
      </c>
      <c r="D88" s="159"/>
      <c r="E88" s="160" t="str">
        <f>HYPERLINK("mailto:kbayode_2008@yahoo.com","kbayode_2008@yahoo.com")</f>
        <v>kbayode_2008@yahoo.com</v>
      </c>
      <c r="F88" s="161">
        <v>8038934438</v>
      </c>
      <c r="G88" s="161"/>
      <c r="H88" s="162">
        <v>40415</v>
      </c>
      <c r="I88" s="159" t="s">
        <v>1152</v>
      </c>
      <c r="J88" s="159"/>
      <c r="K88" s="159" t="s">
        <v>974</v>
      </c>
      <c r="L88" s="163"/>
      <c r="M88" s="164"/>
      <c r="N88" s="165"/>
    </row>
    <row r="89" spans="2:14" ht="30">
      <c r="B89" s="159">
        <v>78</v>
      </c>
      <c r="C89" s="159" t="s">
        <v>1153</v>
      </c>
      <c r="D89" s="159"/>
      <c r="E89" s="160"/>
      <c r="F89" s="161">
        <v>7066453297</v>
      </c>
      <c r="G89" s="161"/>
      <c r="H89" s="162">
        <v>40418</v>
      </c>
      <c r="I89" s="159" t="s">
        <v>1154</v>
      </c>
      <c r="J89" s="159"/>
      <c r="K89" s="159" t="s">
        <v>974</v>
      </c>
      <c r="L89" s="163"/>
      <c r="M89" s="164"/>
      <c r="N89" s="165"/>
    </row>
    <row r="90" spans="2:14" ht="30">
      <c r="B90" s="159">
        <v>79</v>
      </c>
      <c r="C90" s="159" t="s">
        <v>1155</v>
      </c>
      <c r="D90" s="159"/>
      <c r="E90" s="160" t="str">
        <f>HYPERLINK("mailto:funmiteejayi1@yahoo.com","funmiteejayi1@yahoo.com")</f>
        <v>funmiteejayi1@yahoo.com</v>
      </c>
      <c r="F90" s="161">
        <v>8025773198</v>
      </c>
      <c r="G90" s="161">
        <v>7064335089</v>
      </c>
      <c r="H90" s="162">
        <v>40418</v>
      </c>
      <c r="I90" s="159" t="s">
        <v>1156</v>
      </c>
      <c r="J90" s="159"/>
      <c r="K90" s="159" t="s">
        <v>1029</v>
      </c>
      <c r="L90" s="163"/>
      <c r="M90" s="164"/>
      <c r="N90" s="165"/>
    </row>
    <row r="91" spans="2:14" ht="30">
      <c r="B91" s="159">
        <v>80</v>
      </c>
      <c r="C91" s="159" t="s">
        <v>1157</v>
      </c>
      <c r="D91" s="159"/>
      <c r="E91" s="160" t="str">
        <f>HYPERLINK("mailto:ask4boolove@yahoo.com","ask4boolove@yahoo.com")</f>
        <v>ask4boolove@yahoo.com</v>
      </c>
      <c r="F91" s="161">
        <v>8039662955</v>
      </c>
      <c r="G91" s="161"/>
      <c r="H91" s="162">
        <v>40419</v>
      </c>
      <c r="I91" s="159" t="s">
        <v>1009</v>
      </c>
      <c r="J91" s="159"/>
      <c r="K91" s="159" t="s">
        <v>1021</v>
      </c>
      <c r="L91" s="163"/>
      <c r="M91" s="164"/>
      <c r="N91" s="165"/>
    </row>
    <row r="92" spans="2:14" ht="60">
      <c r="B92" s="159">
        <v>81</v>
      </c>
      <c r="C92" s="159" t="s">
        <v>1158</v>
      </c>
      <c r="D92" s="159"/>
      <c r="E92" s="160" t="s">
        <v>1159</v>
      </c>
      <c r="F92" s="161">
        <v>8066335527</v>
      </c>
      <c r="G92" s="161"/>
      <c r="H92" s="162">
        <v>40420</v>
      </c>
      <c r="I92" s="159" t="s">
        <v>1160</v>
      </c>
      <c r="J92" s="159"/>
      <c r="K92" s="159" t="s">
        <v>1051</v>
      </c>
      <c r="L92" s="163"/>
      <c r="M92" s="164"/>
      <c r="N92" s="165"/>
    </row>
    <row r="93" spans="2:14" ht="30">
      <c r="B93" s="159">
        <v>82</v>
      </c>
      <c r="C93" s="159" t="s">
        <v>1161</v>
      </c>
      <c r="D93" s="159"/>
      <c r="E93" s="160" t="str">
        <f>HYPERLINK("mailto:ayomikky2@yahoo.co.uk","ayomikky2@yahoo.co.uk")</f>
        <v>ayomikky2@yahoo.co.uk</v>
      </c>
      <c r="F93" s="161">
        <v>8020877570</v>
      </c>
      <c r="G93" s="161">
        <v>7063011409</v>
      </c>
      <c r="H93" s="162">
        <v>40422</v>
      </c>
      <c r="I93" s="159" t="s">
        <v>1162</v>
      </c>
      <c r="J93" s="159"/>
      <c r="K93" s="159" t="s">
        <v>1163</v>
      </c>
      <c r="L93" s="163"/>
      <c r="M93" s="164"/>
      <c r="N93" s="165"/>
    </row>
    <row r="94" spans="2:14" ht="30">
      <c r="B94" s="159">
        <v>83</v>
      </c>
      <c r="C94" s="159" t="s">
        <v>1164</v>
      </c>
      <c r="D94" s="159"/>
      <c r="E94" s="160" t="str">
        <f>HYPERLINK("mailto:segzale007@yahoo.com","segzale007@yahoo.com")</f>
        <v>segzale007@yahoo.com</v>
      </c>
      <c r="F94" s="161">
        <v>8033440168</v>
      </c>
      <c r="G94" s="161">
        <v>8023644299</v>
      </c>
      <c r="H94" s="162">
        <v>40428</v>
      </c>
      <c r="I94" s="159" t="s">
        <v>1165</v>
      </c>
      <c r="J94" s="159"/>
      <c r="K94" s="159" t="s">
        <v>967</v>
      </c>
      <c r="L94" s="163"/>
      <c r="M94" s="164"/>
      <c r="N94" s="165"/>
    </row>
    <row r="95" spans="2:14" ht="45">
      <c r="B95" s="159">
        <v>84</v>
      </c>
      <c r="C95" s="159" t="s">
        <v>1166</v>
      </c>
      <c r="D95" s="159"/>
      <c r="E95" s="160" t="str">
        <f>HYPERLINK("mailto:arcjegedeolakunle@yahoo.com","arcjegedeolakunle@yahoo.com")</f>
        <v>arcjegedeolakunle@yahoo.com</v>
      </c>
      <c r="F95" s="161">
        <v>7037113855</v>
      </c>
      <c r="G95" s="161">
        <v>8125061930</v>
      </c>
      <c r="H95" s="162">
        <v>40432</v>
      </c>
      <c r="I95" s="159" t="s">
        <v>1167</v>
      </c>
      <c r="J95" s="159"/>
      <c r="K95" s="159" t="s">
        <v>971</v>
      </c>
      <c r="L95" s="163"/>
      <c r="M95" s="164"/>
      <c r="N95" s="165"/>
    </row>
    <row r="96" spans="2:14" ht="30">
      <c r="B96" s="159">
        <v>85</v>
      </c>
      <c r="C96" s="159" t="s">
        <v>1168</v>
      </c>
      <c r="D96" s="159"/>
      <c r="E96" s="160" t="str">
        <f>HYPERLINK("mailto:yemyte4035@yahoo.com","yemyte4035@yahoo.com")</f>
        <v>yemyte4035@yahoo.com</v>
      </c>
      <c r="F96" s="161">
        <v>8035411623</v>
      </c>
      <c r="G96" s="161"/>
      <c r="H96" s="162">
        <v>40435</v>
      </c>
      <c r="I96" s="159"/>
      <c r="J96" s="159"/>
      <c r="K96" s="159"/>
      <c r="L96" s="163"/>
      <c r="M96" s="164"/>
      <c r="N96" s="165"/>
    </row>
    <row r="97" spans="2:14" ht="30">
      <c r="B97" s="159">
        <v>86</v>
      </c>
      <c r="C97" s="159" t="s">
        <v>1169</v>
      </c>
      <c r="D97" s="159"/>
      <c r="E97" s="160" t="str">
        <f>HYPERLINK("mailto:searchseun@yahoo.com","searchseun@yahoo.com")</f>
        <v>searchseun@yahoo.com</v>
      </c>
      <c r="F97" s="161">
        <v>7061275946</v>
      </c>
      <c r="G97" s="161"/>
      <c r="H97" s="162">
        <v>40436</v>
      </c>
      <c r="I97" s="159" t="s">
        <v>1170</v>
      </c>
      <c r="J97" s="159"/>
      <c r="K97" s="159" t="s">
        <v>1021</v>
      </c>
      <c r="L97" s="163"/>
      <c r="M97" s="164"/>
      <c r="N97" s="165"/>
    </row>
    <row r="98" spans="2:14" ht="45">
      <c r="B98" s="166">
        <v>87</v>
      </c>
      <c r="C98" s="166" t="s">
        <v>1171</v>
      </c>
      <c r="D98" s="166"/>
      <c r="E98" s="167" t="str">
        <f>HYPERLINK("mailto:gift_onun@yahoo.com","gift_onun@yahoo.com")</f>
        <v>gift_onun@yahoo.com</v>
      </c>
      <c r="F98" s="168">
        <v>8067621293</v>
      </c>
      <c r="G98" s="168">
        <v>8184061765</v>
      </c>
      <c r="H98" s="169">
        <v>40446</v>
      </c>
      <c r="I98" s="166" t="s">
        <v>1172</v>
      </c>
      <c r="J98" s="166" t="s">
        <v>1173</v>
      </c>
      <c r="K98" s="166" t="s">
        <v>1174</v>
      </c>
      <c r="L98" s="170" t="s">
        <v>1146</v>
      </c>
      <c r="M98" s="164"/>
      <c r="N98" s="165"/>
    </row>
    <row r="99" spans="2:14" ht="30">
      <c r="B99" s="159">
        <v>88</v>
      </c>
      <c r="C99" s="159" t="s">
        <v>1175</v>
      </c>
      <c r="D99" s="159"/>
      <c r="E99" s="160" t="str">
        <f>HYPERLINK("mailto:akinmoladuntope@yahoo.com","akinmoladuntope@yahoo.com")</f>
        <v>akinmoladuntope@yahoo.com</v>
      </c>
      <c r="F99" s="161">
        <v>8067903115</v>
      </c>
      <c r="G99" s="161"/>
      <c r="H99" s="162">
        <v>40447</v>
      </c>
      <c r="I99" s="159"/>
      <c r="J99" s="159"/>
      <c r="K99" s="159" t="s">
        <v>974</v>
      </c>
      <c r="L99" s="163"/>
      <c r="M99" s="164"/>
      <c r="N99" s="165"/>
    </row>
    <row r="100" spans="2:14" ht="30">
      <c r="B100" s="159">
        <v>89</v>
      </c>
      <c r="C100" s="159" t="s">
        <v>1176</v>
      </c>
      <c r="D100" s="159"/>
      <c r="E100" s="160" t="str">
        <f>HYPERLINK("mailto:princilliayes@yahoo.co.uk","princilliayes@yahoo.co.uk")</f>
        <v>princilliayes@yahoo.co.uk</v>
      </c>
      <c r="F100" s="161">
        <v>8066091241</v>
      </c>
      <c r="G100" s="161"/>
      <c r="H100" s="162">
        <v>40449</v>
      </c>
      <c r="I100" s="159" t="s">
        <v>1177</v>
      </c>
      <c r="J100" s="159"/>
      <c r="K100" s="159" t="s">
        <v>974</v>
      </c>
      <c r="L100" s="163"/>
      <c r="M100" s="164"/>
      <c r="N100" s="165"/>
    </row>
    <row r="101" spans="2:14" ht="45">
      <c r="B101" s="159">
        <v>90</v>
      </c>
      <c r="C101" s="159" t="s">
        <v>1178</v>
      </c>
      <c r="D101" s="159"/>
      <c r="E101" s="160" t="str">
        <f>HYPERLINK("mailto:folico56@yahoo.com","folico56@yahoo.com")</f>
        <v>folico56@yahoo.com</v>
      </c>
      <c r="F101" s="161">
        <v>8035195206</v>
      </c>
      <c r="G101" s="161"/>
      <c r="H101" s="162">
        <v>40449</v>
      </c>
      <c r="I101" s="159" t="s">
        <v>1179</v>
      </c>
      <c r="J101" s="159"/>
      <c r="K101" s="159"/>
      <c r="L101" s="163"/>
      <c r="M101" s="164"/>
      <c r="N101" s="165"/>
    </row>
    <row r="102" spans="2:14" ht="30">
      <c r="B102" s="159">
        <v>91</v>
      </c>
      <c r="C102" s="159" t="s">
        <v>1180</v>
      </c>
      <c r="D102" s="159"/>
      <c r="E102" s="160" t="str">
        <f>HYPERLINK("mailto:sollyjoeguy_real@yahoo.com","sollyjoeguy_real@yahoo.com")</f>
        <v>sollyjoeguy_real@yahoo.com</v>
      </c>
      <c r="F102" s="161">
        <v>8030466036</v>
      </c>
      <c r="G102" s="161"/>
      <c r="H102" s="162">
        <v>40451</v>
      </c>
      <c r="I102" s="159" t="s">
        <v>1181</v>
      </c>
      <c r="J102" s="159"/>
      <c r="K102" s="159" t="s">
        <v>971</v>
      </c>
      <c r="L102" s="163"/>
      <c r="M102" s="164"/>
      <c r="N102" s="165"/>
    </row>
    <row r="103" spans="2:14" ht="45">
      <c r="B103" s="159">
        <v>92</v>
      </c>
      <c r="C103" s="159" t="s">
        <v>1182</v>
      </c>
      <c r="D103" s="159"/>
      <c r="E103" s="160" t="str">
        <f>HYPERLINK("mailto:tommybanji@hotmail.com","tommybanji@hotmail.com")</f>
        <v>tommybanji@hotmail.com</v>
      </c>
      <c r="F103" s="161">
        <v>8138033436</v>
      </c>
      <c r="G103" s="161"/>
      <c r="H103" s="162">
        <v>40452</v>
      </c>
      <c r="I103" s="159" t="s">
        <v>1183</v>
      </c>
      <c r="J103" s="159"/>
      <c r="K103" s="159" t="s">
        <v>1021</v>
      </c>
      <c r="L103" s="163"/>
      <c r="M103" s="164"/>
      <c r="N103" s="165"/>
    </row>
    <row r="104" spans="2:14" ht="30">
      <c r="B104" s="159">
        <v>93</v>
      </c>
      <c r="C104" s="159" t="s">
        <v>1184</v>
      </c>
      <c r="D104" s="159"/>
      <c r="E104" s="160" t="str">
        <f>HYPERLINK("mailto:tjcruise2007@yahoo.co.uk","tjcruise2007@yahoo.co.uk")</f>
        <v>tjcruise2007@yahoo.co.uk</v>
      </c>
      <c r="F104" s="161">
        <v>8067864251</v>
      </c>
      <c r="G104" s="161">
        <v>8027393978</v>
      </c>
      <c r="H104" s="162">
        <v>40454</v>
      </c>
      <c r="I104" s="159" t="s">
        <v>1185</v>
      </c>
      <c r="J104" s="159"/>
      <c r="K104" s="159" t="s">
        <v>967</v>
      </c>
      <c r="L104" s="163"/>
      <c r="M104" s="164"/>
      <c r="N104" s="165"/>
    </row>
    <row r="105" spans="2:14" ht="30">
      <c r="B105" s="159">
        <v>94</v>
      </c>
      <c r="C105" s="159" t="s">
        <v>1186</v>
      </c>
      <c r="D105" s="159"/>
      <c r="E105" s="160" t="str">
        <f>HYPERLINK("mailto:beckiousBabe@yahoo.com","beckiousBabe@yahoo.com")</f>
        <v>beckiousBabe@yahoo.com</v>
      </c>
      <c r="F105" s="161">
        <v>8034699040</v>
      </c>
      <c r="G105" s="161"/>
      <c r="H105" s="162">
        <v>40457</v>
      </c>
      <c r="I105" s="159" t="s">
        <v>1187</v>
      </c>
      <c r="J105" s="159"/>
      <c r="K105" s="159" t="s">
        <v>971</v>
      </c>
      <c r="L105" s="163"/>
      <c r="M105" s="164"/>
      <c r="N105" s="165"/>
    </row>
    <row r="106" spans="2:14" ht="60">
      <c r="B106" s="159">
        <v>95</v>
      </c>
      <c r="C106" s="159" t="s">
        <v>1188</v>
      </c>
      <c r="D106" s="159"/>
      <c r="E106" s="160" t="str">
        <f>HYPERLINK("mailto:mrsegun87@yahoo.com","mrsegun87@yahoo.com")</f>
        <v>mrsegun87@yahoo.com</v>
      </c>
      <c r="F106" s="161">
        <v>8060758546</v>
      </c>
      <c r="G106" s="161">
        <v>8138582776</v>
      </c>
      <c r="H106" s="162">
        <v>40457</v>
      </c>
      <c r="I106" s="159" t="s">
        <v>1189</v>
      </c>
      <c r="J106" s="159"/>
      <c r="K106" s="159" t="s">
        <v>974</v>
      </c>
      <c r="L106" s="163"/>
      <c r="M106" s="164"/>
      <c r="N106" s="165"/>
    </row>
    <row r="107" spans="2:14" ht="45">
      <c r="B107" s="159">
        <v>96</v>
      </c>
      <c r="C107" s="159" t="s">
        <v>1190</v>
      </c>
      <c r="D107" s="159"/>
      <c r="E107" s="160" t="str">
        <f>HYPERLINK("mailto:saved2seal@yahoo.com","saved2seal@yahoo.com")</f>
        <v>saved2seal@yahoo.com</v>
      </c>
      <c r="F107" s="161">
        <v>8024088099</v>
      </c>
      <c r="G107" s="161"/>
      <c r="H107" s="162">
        <v>40461</v>
      </c>
      <c r="I107" s="159" t="s">
        <v>1191</v>
      </c>
      <c r="J107" s="159"/>
      <c r="K107" s="159" t="s">
        <v>1192</v>
      </c>
      <c r="L107" s="163"/>
      <c r="M107" s="164"/>
      <c r="N107" s="165"/>
    </row>
    <row r="108" spans="2:14" ht="30">
      <c r="B108" s="159">
        <v>97</v>
      </c>
      <c r="C108" s="159" t="s">
        <v>1193</v>
      </c>
      <c r="D108" s="159"/>
      <c r="E108" s="160" t="str">
        <f>HYPERLINK("mailto:olomiyesan@yahoo.co.uk","olomiyesan@yahoo.co.uk")</f>
        <v>olomiyesan@yahoo.co.uk</v>
      </c>
      <c r="F108" s="161">
        <v>8135957351</v>
      </c>
      <c r="G108" s="161"/>
      <c r="H108" s="162">
        <v>40461</v>
      </c>
      <c r="I108" s="159" t="s">
        <v>1194</v>
      </c>
      <c r="J108" s="159"/>
      <c r="K108" s="159" t="s">
        <v>974</v>
      </c>
      <c r="L108" s="163"/>
      <c r="M108" s="164"/>
      <c r="N108" s="165"/>
    </row>
    <row r="109" spans="2:14" ht="30">
      <c r="B109" s="159">
        <v>98</v>
      </c>
      <c r="C109" s="159" t="s">
        <v>1195</v>
      </c>
      <c r="D109" s="159"/>
      <c r="E109" s="160" t="s">
        <v>1196</v>
      </c>
      <c r="F109" s="161">
        <v>7038119688</v>
      </c>
      <c r="G109" s="161"/>
      <c r="H109" s="162">
        <v>40464</v>
      </c>
      <c r="I109" s="159" t="s">
        <v>1197</v>
      </c>
      <c r="J109" s="159"/>
      <c r="K109" s="159" t="s">
        <v>974</v>
      </c>
      <c r="L109" s="163"/>
      <c r="M109" s="164"/>
      <c r="N109" s="165"/>
    </row>
    <row r="110" spans="2:14" ht="45">
      <c r="B110" s="159">
        <v>99</v>
      </c>
      <c r="C110" s="159" t="s">
        <v>1198</v>
      </c>
      <c r="D110" s="159"/>
      <c r="E110" s="160" t="str">
        <f>HYPERLINK("mailto:ronkybabes1234@yahoo.com","ronkybabes1234@yahoo.com")</f>
        <v>ronkybabes1234@yahoo.com</v>
      </c>
      <c r="F110" s="161">
        <v>8062081663</v>
      </c>
      <c r="G110" s="161"/>
      <c r="H110" s="162">
        <v>40464</v>
      </c>
      <c r="I110" s="159" t="s">
        <v>1199</v>
      </c>
      <c r="J110" s="159"/>
      <c r="K110" s="159" t="s">
        <v>974</v>
      </c>
      <c r="L110" s="163" t="s">
        <v>978</v>
      </c>
      <c r="M110" s="164"/>
      <c r="N110" s="165"/>
    </row>
    <row r="111" spans="2:14" ht="30">
      <c r="B111" s="159">
        <v>100</v>
      </c>
      <c r="C111" s="159" t="s">
        <v>1200</v>
      </c>
      <c r="D111" s="159"/>
      <c r="E111" s="160" t="str">
        <f>HYPERLINK("mailto:osara4real@yahoo.com","osara4real@yahoo.com")</f>
        <v>osara4real@yahoo.com</v>
      </c>
      <c r="F111" s="161">
        <v>8035419519</v>
      </c>
      <c r="G111" s="161"/>
      <c r="H111" s="162">
        <v>40465</v>
      </c>
      <c r="I111" s="159"/>
      <c r="J111" s="159"/>
      <c r="K111" s="159"/>
      <c r="L111" s="163"/>
      <c r="M111" s="164"/>
      <c r="N111" s="165"/>
    </row>
    <row r="112" spans="2:14" ht="30">
      <c r="B112" s="159">
        <v>101</v>
      </c>
      <c r="C112" s="159" t="s">
        <v>1201</v>
      </c>
      <c r="D112" s="159"/>
      <c r="E112" s="160" t="str">
        <f>HYPERLINK("mailto:victor4top@yahoo.com","victor4top@yahoo.com")</f>
        <v>victor4top@yahoo.com</v>
      </c>
      <c r="F112" s="161">
        <v>8066083885</v>
      </c>
      <c r="G112" s="161"/>
      <c r="H112" s="162">
        <v>40465</v>
      </c>
      <c r="I112" s="159"/>
      <c r="J112" s="159"/>
      <c r="K112" s="159"/>
      <c r="L112" s="163"/>
      <c r="M112" s="164"/>
      <c r="N112" s="165"/>
    </row>
    <row r="113" spans="2:14" ht="45">
      <c r="B113" s="159">
        <v>102</v>
      </c>
      <c r="C113" s="159" t="s">
        <v>1202</v>
      </c>
      <c r="D113" s="159"/>
      <c r="E113" s="160" t="str">
        <f>HYPERLINK("mailto:victoradesanmi@yahoo.com","victoradesanmi@yahoo.com")</f>
        <v>victoradesanmi@yahoo.com</v>
      </c>
      <c r="F113" s="161">
        <v>8033717513</v>
      </c>
      <c r="G113" s="161"/>
      <c r="H113" s="162">
        <v>40466</v>
      </c>
      <c r="I113" s="159" t="s">
        <v>1203</v>
      </c>
      <c r="J113" s="159"/>
      <c r="K113" s="159" t="s">
        <v>1051</v>
      </c>
      <c r="L113" s="163"/>
      <c r="M113" s="164"/>
      <c r="N113" s="165"/>
    </row>
    <row r="114" spans="2:14" ht="60">
      <c r="B114" s="159">
        <v>103</v>
      </c>
      <c r="C114" s="159" t="s">
        <v>1204</v>
      </c>
      <c r="D114" s="159"/>
      <c r="E114" s="160" t="str">
        <f>HYPERLINK("mailto:Kemi_fadeke@yahoo.com","Kemi_fadeke@yahoo.com")</f>
        <v>Kemi_fadeke@yahoo.com</v>
      </c>
      <c r="F114" s="161">
        <v>8032092869</v>
      </c>
      <c r="G114" s="161"/>
      <c r="H114" s="162">
        <v>40469</v>
      </c>
      <c r="I114" s="159" t="s">
        <v>1205</v>
      </c>
      <c r="J114" s="159"/>
      <c r="K114" s="159" t="s">
        <v>1051</v>
      </c>
      <c r="L114" s="163"/>
      <c r="M114" s="164"/>
      <c r="N114" s="165"/>
    </row>
    <row r="115" spans="2:14" ht="30">
      <c r="B115" s="159">
        <v>104</v>
      </c>
      <c r="C115" s="159" t="s">
        <v>1206</v>
      </c>
      <c r="D115" s="159"/>
      <c r="E115" s="160" t="str">
        <f>HYPERLINK("mailto:gift_onwuka@yahoo.com","gift_onwuka@yahoo.com")</f>
        <v>gift_onwuka@yahoo.com</v>
      </c>
      <c r="F115" s="161">
        <v>7039555292</v>
      </c>
      <c r="G115" s="161"/>
      <c r="H115" s="162">
        <v>40472</v>
      </c>
      <c r="I115" s="159" t="s">
        <v>1207</v>
      </c>
      <c r="J115" s="159"/>
      <c r="K115" s="159" t="s">
        <v>1208</v>
      </c>
      <c r="L115" s="163"/>
      <c r="M115" s="164"/>
      <c r="N115" s="165"/>
    </row>
    <row r="116" spans="2:14" ht="60">
      <c r="B116" s="166">
        <v>105</v>
      </c>
      <c r="C116" s="166" t="s">
        <v>1209</v>
      </c>
      <c r="D116" s="166" t="s">
        <v>1210</v>
      </c>
      <c r="E116" s="167" t="str">
        <f>HYPERLINK("mailto:ajeleomolarami@yahoo.ca","omolaraajele@gmail.com, ajeleomolarami@yahoo.ca")</f>
        <v>omolaraajele@gmail.com, ajeleomolarami@yahoo.ca</v>
      </c>
      <c r="F116" s="168">
        <v>8132128966</v>
      </c>
      <c r="G116" s="168">
        <v>8091649471</v>
      </c>
      <c r="H116" s="169">
        <v>40473</v>
      </c>
      <c r="I116" s="166" t="s">
        <v>1211</v>
      </c>
      <c r="J116" s="166" t="s">
        <v>1212</v>
      </c>
      <c r="K116" s="166" t="s">
        <v>974</v>
      </c>
      <c r="L116" s="170" t="s">
        <v>968</v>
      </c>
      <c r="M116" s="164" t="s">
        <v>1213</v>
      </c>
      <c r="N116" s="165" t="s">
        <v>1214</v>
      </c>
    </row>
    <row r="117" spans="2:14" ht="30">
      <c r="B117" s="159">
        <v>106</v>
      </c>
      <c r="C117" s="159" t="s">
        <v>1215</v>
      </c>
      <c r="D117" s="159"/>
      <c r="E117" s="160" t="str">
        <f>HYPERLINK("mailto:royalheart145@yahoo.com","royalheart145@yahoo.com")</f>
        <v>royalheart145@yahoo.com</v>
      </c>
      <c r="F117" s="161">
        <v>8025917802</v>
      </c>
      <c r="G117" s="161"/>
      <c r="H117" s="162">
        <v>40481</v>
      </c>
      <c r="I117" s="159"/>
      <c r="J117" s="159"/>
      <c r="K117" s="159"/>
      <c r="L117" s="163"/>
      <c r="M117" s="164"/>
      <c r="N117" s="165"/>
    </row>
    <row r="118" spans="2:14" ht="30">
      <c r="B118" s="159">
        <v>107</v>
      </c>
      <c r="C118" s="159" t="s">
        <v>1216</v>
      </c>
      <c r="D118" s="159"/>
      <c r="E118" s="160" t="str">
        <f>HYPERLINK("mailto:coatson005@yahoo.com","coatson005@yahoo.com")</f>
        <v>coatson005@yahoo.com</v>
      </c>
      <c r="F118" s="161">
        <v>8024652450</v>
      </c>
      <c r="G118" s="161">
        <v>8130556298</v>
      </c>
      <c r="H118" s="162">
        <v>40485</v>
      </c>
      <c r="I118" s="159" t="s">
        <v>1217</v>
      </c>
      <c r="J118" s="159"/>
      <c r="K118" s="159" t="s">
        <v>1051</v>
      </c>
      <c r="L118" s="163"/>
      <c r="M118" s="164"/>
      <c r="N118" s="165"/>
    </row>
    <row r="119" spans="2:14" ht="30">
      <c r="B119" s="159">
        <v>108</v>
      </c>
      <c r="C119" s="159" t="s">
        <v>1218</v>
      </c>
      <c r="D119" s="159"/>
      <c r="E119" s="160" t="str">
        <f>HYPERLINK("mailto:yemivp@yahoo.com","yemivp@yahoo.com")</f>
        <v>yemivp@yahoo.com</v>
      </c>
      <c r="F119" s="161">
        <v>8051257386</v>
      </c>
      <c r="G119" s="161"/>
      <c r="H119" s="162">
        <v>40486</v>
      </c>
      <c r="I119" s="159" t="s">
        <v>1219</v>
      </c>
      <c r="J119" s="159"/>
      <c r="K119" s="159" t="s">
        <v>1118</v>
      </c>
      <c r="L119" s="163"/>
      <c r="M119" s="164"/>
      <c r="N119" s="165"/>
    </row>
    <row r="120" spans="2:14" ht="45">
      <c r="B120" s="159">
        <v>109</v>
      </c>
      <c r="C120" s="159" t="s">
        <v>1220</v>
      </c>
      <c r="D120" s="159"/>
      <c r="E120" s="160" t="str">
        <f>HYPERLINK("mailto:olowolaolumide@yahoo.com","olowolaolumide@yahoo.com")</f>
        <v>olowolaolumide@yahoo.com</v>
      </c>
      <c r="F120" s="161">
        <v>8053510319</v>
      </c>
      <c r="G120" s="161"/>
      <c r="H120" s="162">
        <v>40486</v>
      </c>
      <c r="I120" s="159" t="s">
        <v>1221</v>
      </c>
      <c r="J120" s="159"/>
      <c r="K120" s="159" t="s">
        <v>971</v>
      </c>
      <c r="L120" s="163"/>
      <c r="M120" s="164"/>
      <c r="N120" s="165"/>
    </row>
    <row r="121" spans="2:14">
      <c r="B121" s="159">
        <v>110</v>
      </c>
      <c r="C121" s="159" t="s">
        <v>1222</v>
      </c>
      <c r="D121" s="159"/>
      <c r="E121" s="160" t="str">
        <f>HYPERLINK("mailto:seymol@yahoo.co.uk","seymol@yahoo.co.uk")</f>
        <v>seymol@yahoo.co.uk</v>
      </c>
      <c r="F121" s="161">
        <v>8020634463</v>
      </c>
      <c r="G121" s="161"/>
      <c r="H121" s="162">
        <v>40487</v>
      </c>
      <c r="I121" s="159"/>
      <c r="J121" s="159"/>
      <c r="K121" s="159"/>
      <c r="L121" s="163"/>
      <c r="M121" s="164"/>
      <c r="N121" s="165"/>
    </row>
    <row r="122" spans="2:14" ht="30">
      <c r="B122" s="159">
        <v>111</v>
      </c>
      <c r="C122" s="159" t="s">
        <v>1223</v>
      </c>
      <c r="D122" s="159"/>
      <c r="E122" s="160" t="str">
        <f>HYPERLINK("mailto:distacode@yahoo.com","distacode@yahoo.com")</f>
        <v>distacode@yahoo.com</v>
      </c>
      <c r="F122" s="161">
        <v>7031545239</v>
      </c>
      <c r="G122" s="161"/>
      <c r="H122" s="162">
        <v>40492</v>
      </c>
      <c r="I122" s="159" t="s">
        <v>1224</v>
      </c>
      <c r="J122" s="159"/>
      <c r="K122" s="159"/>
      <c r="L122" s="163"/>
      <c r="M122" s="164"/>
      <c r="N122" s="165"/>
    </row>
    <row r="123" spans="2:14" ht="60">
      <c r="B123" s="159">
        <v>112</v>
      </c>
      <c r="C123" s="159" t="s">
        <v>1225</v>
      </c>
      <c r="D123" s="159"/>
      <c r="E123" s="160" t="str">
        <f>HYPERLINK("mailto:omogunlayeolusegun@yahoo.com","omogunlayeolusegun@yahoo.com")</f>
        <v>omogunlayeolusegun@yahoo.com</v>
      </c>
      <c r="F123" s="161">
        <v>8059981896</v>
      </c>
      <c r="G123" s="161"/>
      <c r="H123" s="162">
        <v>40492</v>
      </c>
      <c r="I123" s="159" t="s">
        <v>1226</v>
      </c>
      <c r="J123" s="159"/>
      <c r="K123" s="159" t="s">
        <v>974</v>
      </c>
      <c r="L123" s="163"/>
      <c r="M123" s="164"/>
      <c r="N123" s="165"/>
    </row>
    <row r="124" spans="2:14" ht="30">
      <c r="B124" s="159">
        <v>113</v>
      </c>
      <c r="C124" s="159" t="s">
        <v>1227</v>
      </c>
      <c r="D124" s="159"/>
      <c r="E124" s="160" t="str">
        <f>HYPERLINK("mailto:oluwaseunfakorede@yahoo.com","oluwaseunfakorede@yahoo.com")</f>
        <v>oluwaseunfakorede@yahoo.com</v>
      </c>
      <c r="F124" s="161">
        <v>8088571940</v>
      </c>
      <c r="G124" s="161">
        <v>8165345858</v>
      </c>
      <c r="H124" s="162">
        <v>40496</v>
      </c>
      <c r="I124" s="159" t="s">
        <v>1228</v>
      </c>
      <c r="J124" s="159"/>
      <c r="K124" s="159" t="s">
        <v>1029</v>
      </c>
      <c r="L124" s="163"/>
      <c r="M124" s="164"/>
      <c r="N124" s="165"/>
    </row>
    <row r="125" spans="2:14" ht="45">
      <c r="B125" s="159">
        <v>114</v>
      </c>
      <c r="C125" s="159" t="s">
        <v>1229</v>
      </c>
      <c r="D125" s="159"/>
      <c r="E125" s="160" t="str">
        <f>HYPERLINK("mailto:oyedeleesan@yahoo.com","oyedeleesan@yahoo.com")</f>
        <v>oyedeleesan@yahoo.com</v>
      </c>
      <c r="F125" s="161">
        <v>8063443818</v>
      </c>
      <c r="G125" s="161"/>
      <c r="H125" s="162">
        <v>40496</v>
      </c>
      <c r="I125" s="159" t="s">
        <v>1230</v>
      </c>
      <c r="J125" s="159"/>
      <c r="K125" s="159" t="s">
        <v>971</v>
      </c>
      <c r="L125" s="163"/>
      <c r="M125" s="164"/>
      <c r="N125" s="165"/>
    </row>
    <row r="126" spans="2:14" ht="30">
      <c r="B126" s="159">
        <v>115</v>
      </c>
      <c r="C126" s="159" t="s">
        <v>1231</v>
      </c>
      <c r="D126" s="159"/>
      <c r="E126" s="160" t="str">
        <f>HYPERLINK("mailto:oshodimeji@yahoo.com","oshodimeji@yahoo.com")</f>
        <v>oshodimeji@yahoo.com</v>
      </c>
      <c r="F126" s="161">
        <v>8088096110</v>
      </c>
      <c r="G126" s="161"/>
      <c r="H126" s="162">
        <v>40498</v>
      </c>
      <c r="I126" s="159"/>
      <c r="J126" s="159"/>
      <c r="K126" s="159"/>
      <c r="L126" s="163"/>
      <c r="M126" s="164"/>
      <c r="N126" s="165"/>
    </row>
    <row r="127" spans="2:14" ht="30">
      <c r="B127" s="159">
        <v>116</v>
      </c>
      <c r="C127" s="159" t="s">
        <v>1232</v>
      </c>
      <c r="D127" s="159"/>
      <c r="E127" s="160" t="str">
        <f>HYPERLINK("mailto:segunmera@yahoo.com","segunmera@yahoo.com")</f>
        <v>segunmera@yahoo.com</v>
      </c>
      <c r="F127" s="161">
        <v>7039170757</v>
      </c>
      <c r="G127" s="161"/>
      <c r="H127" s="162">
        <v>40499</v>
      </c>
      <c r="I127" s="159" t="s">
        <v>1233</v>
      </c>
      <c r="J127" s="159"/>
      <c r="K127" s="159" t="s">
        <v>974</v>
      </c>
      <c r="L127" s="163"/>
      <c r="M127" s="164"/>
      <c r="N127" s="165"/>
    </row>
    <row r="128" spans="2:14">
      <c r="B128" s="159">
        <v>117</v>
      </c>
      <c r="C128" s="159" t="s">
        <v>1234</v>
      </c>
      <c r="D128" s="159"/>
      <c r="E128" s="160" t="str">
        <f>HYPERLINK("mailto:geebry-2@yahoo.com","geebry-2@yahoo.com")</f>
        <v>geebry-2@yahoo.com</v>
      </c>
      <c r="F128" s="161">
        <v>8039161090</v>
      </c>
      <c r="G128" s="161">
        <v>7055524601</v>
      </c>
      <c r="H128" s="162">
        <v>40500</v>
      </c>
      <c r="I128" s="159" t="s">
        <v>1235</v>
      </c>
      <c r="J128" s="159"/>
      <c r="K128" s="159" t="s">
        <v>997</v>
      </c>
      <c r="L128" s="163"/>
      <c r="M128" s="164"/>
      <c r="N128" s="165"/>
    </row>
    <row r="129" spans="2:14" ht="30">
      <c r="B129" s="159">
        <v>118</v>
      </c>
      <c r="C129" s="159" t="s">
        <v>1236</v>
      </c>
      <c r="D129" s="159"/>
      <c r="E129" s="160" t="str">
        <f>HYPERLINK("mailto:babswills2003@yahoo.com","babswills2003@yahoo.com")</f>
        <v>babswills2003@yahoo.com</v>
      </c>
      <c r="F129" s="161">
        <v>8034188840</v>
      </c>
      <c r="G129" s="161"/>
      <c r="H129" s="162">
        <v>40501</v>
      </c>
      <c r="I129" s="159"/>
      <c r="J129" s="159"/>
      <c r="K129" s="159"/>
      <c r="L129" s="163"/>
      <c r="M129" s="164"/>
      <c r="N129" s="165"/>
    </row>
    <row r="130" spans="2:14" ht="30">
      <c r="B130" s="159">
        <v>119</v>
      </c>
      <c r="C130" s="159" t="s">
        <v>1237</v>
      </c>
      <c r="D130" s="159"/>
      <c r="E130" s="160" t="str">
        <f>HYPERLINK("mailto:megbowon@yahoo.com","megbowon@yahoo.com")</f>
        <v>megbowon@yahoo.com</v>
      </c>
      <c r="F130" s="161">
        <v>8066467017</v>
      </c>
      <c r="G130" s="161"/>
      <c r="H130" s="162">
        <v>40507</v>
      </c>
      <c r="I130" s="159"/>
      <c r="J130" s="159"/>
      <c r="K130" s="159"/>
      <c r="L130" s="163"/>
      <c r="M130" s="164"/>
      <c r="N130" s="165"/>
    </row>
    <row r="131" spans="2:14" ht="30">
      <c r="B131" s="159">
        <v>120</v>
      </c>
      <c r="C131" s="159" t="s">
        <v>1238</v>
      </c>
      <c r="D131" s="159"/>
      <c r="E131" s="160" t="str">
        <f>HYPERLINK("mailto:calarry@yahoo.com","calarry@yahoo.com")</f>
        <v>calarry@yahoo.com</v>
      </c>
      <c r="F131" s="161">
        <v>8062706652</v>
      </c>
      <c r="G131" s="161"/>
      <c r="H131" s="162">
        <v>40510</v>
      </c>
      <c r="I131" s="159" t="s">
        <v>1239</v>
      </c>
      <c r="J131" s="159"/>
      <c r="K131" s="159" t="s">
        <v>974</v>
      </c>
      <c r="L131" s="163"/>
      <c r="M131" s="164"/>
      <c r="N131" s="165"/>
    </row>
    <row r="132" spans="2:14" ht="45">
      <c r="B132" s="159">
        <v>121</v>
      </c>
      <c r="C132" s="159" t="s">
        <v>1240</v>
      </c>
      <c r="D132" s="159"/>
      <c r="E132" s="160" t="str">
        <f>HYPERLINK("mailto:duppysolex@yahoo.com","duppysolex@yahoo.com")</f>
        <v>duppysolex@yahoo.com</v>
      </c>
      <c r="F132" s="161">
        <v>8032431192</v>
      </c>
      <c r="G132" s="161"/>
      <c r="H132" s="162">
        <v>40522</v>
      </c>
      <c r="I132" s="159" t="s">
        <v>1241</v>
      </c>
      <c r="J132" s="159"/>
      <c r="K132" s="159" t="s">
        <v>974</v>
      </c>
      <c r="L132" s="163"/>
      <c r="M132" s="164"/>
      <c r="N132" s="165"/>
    </row>
    <row r="133" spans="2:14" ht="60">
      <c r="B133" s="159">
        <v>122</v>
      </c>
      <c r="C133" s="159" t="s">
        <v>1242</v>
      </c>
      <c r="D133" s="159"/>
      <c r="E133" s="160" t="str">
        <f>HYPERLINK("mailto:gdjibs@yahoo.com","gdjibs@yahoo.com")</f>
        <v>gdjibs@yahoo.com</v>
      </c>
      <c r="F133" s="161">
        <v>8025958433</v>
      </c>
      <c r="G133" s="161"/>
      <c r="H133" s="162">
        <v>40530</v>
      </c>
      <c r="I133" s="159" t="s">
        <v>1243</v>
      </c>
      <c r="J133" s="159"/>
      <c r="K133" s="159" t="s">
        <v>1029</v>
      </c>
      <c r="L133" s="163"/>
      <c r="M133" s="164"/>
      <c r="N133" s="165"/>
    </row>
    <row r="134" spans="2:14" ht="45">
      <c r="B134" s="159">
        <v>123</v>
      </c>
      <c r="C134" s="166" t="s">
        <v>1244</v>
      </c>
      <c r="D134" s="166" t="s">
        <v>1245</v>
      </c>
      <c r="E134" s="167" t="s">
        <v>1246</v>
      </c>
      <c r="F134" s="168">
        <v>8060244281</v>
      </c>
      <c r="G134" s="168">
        <v>8021332106</v>
      </c>
      <c r="H134" s="169">
        <v>40533</v>
      </c>
      <c r="I134" s="166" t="s">
        <v>1247</v>
      </c>
      <c r="J134" s="166" t="s">
        <v>1248</v>
      </c>
      <c r="K134" s="166" t="s">
        <v>1249</v>
      </c>
      <c r="L134" s="170" t="s">
        <v>1250</v>
      </c>
      <c r="M134" s="171" t="s">
        <v>1251</v>
      </c>
      <c r="N134" s="172" t="s">
        <v>1252</v>
      </c>
    </row>
    <row r="135" spans="2:14" ht="45">
      <c r="B135" s="159">
        <v>124</v>
      </c>
      <c r="C135" s="159" t="s">
        <v>1253</v>
      </c>
      <c r="D135" s="159" t="s">
        <v>1254</v>
      </c>
      <c r="E135" s="160" t="str">
        <f>HYPERLINK("mailto:bissylaw@yahoo.co.uk","bissylaw@yahoo.co.uk")</f>
        <v>bissylaw@yahoo.co.uk</v>
      </c>
      <c r="F135" s="161">
        <v>8060706169</v>
      </c>
      <c r="G135" s="161">
        <v>8071978752</v>
      </c>
      <c r="H135" s="162">
        <v>40540</v>
      </c>
      <c r="I135" s="159" t="s">
        <v>1255</v>
      </c>
      <c r="J135" s="159"/>
      <c r="K135" s="159" t="s">
        <v>974</v>
      </c>
      <c r="L135" s="163"/>
      <c r="M135" s="164"/>
      <c r="N135" s="165"/>
    </row>
    <row r="136" spans="2:14">
      <c r="B136" s="159">
        <v>125</v>
      </c>
      <c r="C136" s="159" t="s">
        <v>1256</v>
      </c>
      <c r="D136" s="159"/>
      <c r="E136" s="159"/>
      <c r="F136" s="161">
        <v>7036844188</v>
      </c>
      <c r="G136" s="161"/>
      <c r="H136" s="159"/>
      <c r="I136" s="159"/>
      <c r="J136" s="159"/>
      <c r="K136" s="159" t="s">
        <v>974</v>
      </c>
      <c r="L136" s="163"/>
      <c r="M136" s="164"/>
      <c r="N136" s="165"/>
    </row>
    <row r="137" spans="2:14" ht="45">
      <c r="B137" s="159">
        <v>126</v>
      </c>
      <c r="C137" s="166" t="s">
        <v>1257</v>
      </c>
      <c r="D137" s="166" t="s">
        <v>1258</v>
      </c>
      <c r="E137" s="166" t="s">
        <v>1259</v>
      </c>
      <c r="F137" s="168">
        <f>447438566758</f>
        <v>447438566758</v>
      </c>
      <c r="G137" s="168"/>
      <c r="H137" s="173">
        <v>41238</v>
      </c>
      <c r="I137" s="166" t="s">
        <v>1260</v>
      </c>
      <c r="J137" s="166"/>
      <c r="K137" s="166" t="s">
        <v>1021</v>
      </c>
      <c r="L137" s="170"/>
      <c r="M137" s="171"/>
      <c r="N137" s="172" t="s">
        <v>1261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3:M138"/>
  <sheetViews>
    <sheetView topLeftCell="A7" workbookViewId="0">
      <selection activeCell="F12" sqref="F12:F138"/>
    </sheetView>
  </sheetViews>
  <sheetFormatPr defaultColWidth="9" defaultRowHeight="15"/>
  <cols>
    <col min="1" max="1" width="8.5703125" customWidth="1"/>
    <col min="2" max="2" width="8" customWidth="1"/>
    <col min="3" max="3" width="38" customWidth="1"/>
    <col min="4" max="4" width="7.42578125" customWidth="1"/>
    <col min="5" max="5" width="8.5703125" customWidth="1"/>
    <col min="6" max="6" width="37.7109375" customWidth="1"/>
    <col min="7" max="7" width="18.42578125" customWidth="1"/>
    <col min="8" max="8" width="23.42578125" customWidth="1"/>
    <col min="9" max="256" width="8.5703125" customWidth="1"/>
  </cols>
  <sheetData>
    <row r="3" spans="2:13" ht="15.75">
      <c r="E3" s="42"/>
      <c r="F3" s="43"/>
      <c r="H3" s="44" t="s">
        <v>0</v>
      </c>
      <c r="I3" s="42"/>
    </row>
    <row r="4" spans="2:13" ht="15.75">
      <c r="E4" s="42"/>
      <c r="F4" s="43"/>
      <c r="H4" s="44" t="s">
        <v>1</v>
      </c>
      <c r="I4" s="42"/>
    </row>
    <row r="5" spans="2:13" ht="15.75">
      <c r="E5" s="42"/>
      <c r="F5" s="45"/>
      <c r="H5" s="46" t="s">
        <v>2</v>
      </c>
      <c r="I5" s="42"/>
    </row>
    <row r="6" spans="2:13" ht="15.75">
      <c r="D6" s="42"/>
      <c r="E6" s="45"/>
      <c r="G6" s="46"/>
      <c r="H6" s="42"/>
    </row>
    <row r="7" spans="2:13">
      <c r="D7" s="60" t="s">
        <v>1276</v>
      </c>
      <c r="E7" s="61"/>
      <c r="F7" s="61"/>
      <c r="G7" s="61"/>
      <c r="H7" s="61"/>
    </row>
    <row r="8" spans="2:13" ht="15.75">
      <c r="D8" s="62" t="s">
        <v>1714</v>
      </c>
      <c r="E8" s="61"/>
      <c r="F8" s="61"/>
      <c r="G8" s="61"/>
      <c r="H8" s="61"/>
    </row>
    <row r="11" spans="2:13" ht="18.75">
      <c r="B11" s="174" t="s">
        <v>3</v>
      </c>
      <c r="C11" s="175" t="s">
        <v>4</v>
      </c>
      <c r="D11" s="176" t="s">
        <v>1464</v>
      </c>
      <c r="E11" s="175" t="s">
        <v>1465</v>
      </c>
      <c r="F11" s="177" t="s">
        <v>954</v>
      </c>
      <c r="G11" s="175" t="s">
        <v>558</v>
      </c>
      <c r="H11" s="178" t="s">
        <v>545</v>
      </c>
    </row>
    <row r="12" spans="2:13" ht="18.75">
      <c r="B12" s="179">
        <v>1</v>
      </c>
      <c r="C12" s="180" t="s">
        <v>1466</v>
      </c>
      <c r="D12" s="181" t="s">
        <v>9</v>
      </c>
      <c r="E12" s="180" t="s">
        <v>16</v>
      </c>
      <c r="F12" s="182"/>
      <c r="G12" s="180" t="s">
        <v>1467</v>
      </c>
      <c r="H12" s="180"/>
    </row>
    <row r="13" spans="2:13" ht="18.75">
      <c r="B13" s="183">
        <v>2</v>
      </c>
      <c r="C13" s="184" t="s">
        <v>1468</v>
      </c>
      <c r="D13" s="185" t="s">
        <v>12</v>
      </c>
      <c r="E13" s="184" t="s">
        <v>77</v>
      </c>
      <c r="F13" s="186">
        <v>8062301328</v>
      </c>
      <c r="G13" s="184" t="s">
        <v>1469</v>
      </c>
      <c r="H13" s="184"/>
    </row>
    <row r="14" spans="2:13" ht="18.75">
      <c r="B14" s="183">
        <v>3</v>
      </c>
      <c r="C14" s="184" t="s">
        <v>1470</v>
      </c>
      <c r="D14" s="185" t="s">
        <v>12</v>
      </c>
      <c r="E14" s="184" t="s">
        <v>45</v>
      </c>
      <c r="F14" s="186">
        <v>8032245117</v>
      </c>
      <c r="G14" s="184" t="s">
        <v>1471</v>
      </c>
      <c r="H14" s="184"/>
      <c r="M14" t="s">
        <v>898</v>
      </c>
    </row>
    <row r="15" spans="2:13" ht="18.75">
      <c r="B15" s="183">
        <v>4</v>
      </c>
      <c r="C15" s="184" t="s">
        <v>1472</v>
      </c>
      <c r="D15" s="185" t="s">
        <v>9</v>
      </c>
      <c r="E15" s="184" t="s">
        <v>16</v>
      </c>
      <c r="F15" s="186">
        <v>8033575180</v>
      </c>
      <c r="G15" s="184" t="s">
        <v>1473</v>
      </c>
      <c r="H15" s="184"/>
    </row>
    <row r="16" spans="2:13" ht="18.75">
      <c r="B16" s="183">
        <v>5</v>
      </c>
      <c r="C16" s="184" t="s">
        <v>1474</v>
      </c>
      <c r="D16" s="185" t="s">
        <v>12</v>
      </c>
      <c r="E16" s="184" t="s">
        <v>45</v>
      </c>
      <c r="F16" s="186">
        <v>8052398631</v>
      </c>
      <c r="G16" s="184" t="s">
        <v>1475</v>
      </c>
      <c r="H16" s="184"/>
    </row>
    <row r="17" spans="2:8" ht="18.75">
      <c r="B17" s="183">
        <v>6</v>
      </c>
      <c r="C17" s="184" t="s">
        <v>1476</v>
      </c>
      <c r="D17" s="185" t="s">
        <v>12</v>
      </c>
      <c r="E17" s="184" t="s">
        <v>53</v>
      </c>
      <c r="F17" s="186">
        <v>8038518352</v>
      </c>
      <c r="G17" s="184" t="s">
        <v>1477</v>
      </c>
      <c r="H17" s="184"/>
    </row>
    <row r="18" spans="2:8" ht="18.75">
      <c r="B18" s="183">
        <v>7</v>
      </c>
      <c r="C18" s="184" t="s">
        <v>1478</v>
      </c>
      <c r="D18" s="185"/>
      <c r="E18" s="184" t="s">
        <v>113</v>
      </c>
      <c r="F18" s="186" t="s">
        <v>1479</v>
      </c>
      <c r="G18" s="184" t="s">
        <v>1480</v>
      </c>
      <c r="H18" s="184"/>
    </row>
    <row r="19" spans="2:8" ht="18.75">
      <c r="B19" s="183">
        <v>8</v>
      </c>
      <c r="C19" s="184" t="s">
        <v>1481</v>
      </c>
      <c r="D19" s="185" t="s">
        <v>12</v>
      </c>
      <c r="E19" s="184" t="s">
        <v>77</v>
      </c>
      <c r="F19" s="186">
        <v>8034446784</v>
      </c>
      <c r="G19" s="184" t="s">
        <v>1482</v>
      </c>
      <c r="H19" s="184"/>
    </row>
    <row r="20" spans="2:8" ht="18.75">
      <c r="B20" s="183">
        <v>9</v>
      </c>
      <c r="C20" s="184" t="s">
        <v>1483</v>
      </c>
      <c r="D20" s="185" t="s">
        <v>12</v>
      </c>
      <c r="E20" s="184" t="s">
        <v>25</v>
      </c>
      <c r="F20" s="186">
        <v>8060073300</v>
      </c>
      <c r="G20" s="184" t="s">
        <v>1484</v>
      </c>
      <c r="H20" s="184"/>
    </row>
    <row r="21" spans="2:8" ht="18.75">
      <c r="B21" s="183">
        <v>10</v>
      </c>
      <c r="C21" s="184" t="s">
        <v>1485</v>
      </c>
      <c r="D21" s="185" t="s">
        <v>12</v>
      </c>
      <c r="E21" s="184"/>
      <c r="F21" s="186">
        <v>8077939722</v>
      </c>
      <c r="G21" s="184" t="s">
        <v>1486</v>
      </c>
      <c r="H21" s="184"/>
    </row>
    <row r="22" spans="2:8" ht="18.75">
      <c r="B22" s="183">
        <v>11</v>
      </c>
      <c r="C22" s="184" t="s">
        <v>1487</v>
      </c>
      <c r="D22" s="185" t="s">
        <v>12</v>
      </c>
      <c r="E22" s="184" t="s">
        <v>1488</v>
      </c>
      <c r="F22" s="186" t="s">
        <v>1489</v>
      </c>
      <c r="G22" s="184" t="s">
        <v>1490</v>
      </c>
      <c r="H22" s="184"/>
    </row>
    <row r="23" spans="2:8" ht="18.75">
      <c r="B23" s="183">
        <v>12</v>
      </c>
      <c r="C23" s="184" t="s">
        <v>1491</v>
      </c>
      <c r="D23" s="185" t="s">
        <v>12</v>
      </c>
      <c r="E23" s="184" t="s">
        <v>64</v>
      </c>
      <c r="F23" s="186" t="s">
        <v>1492</v>
      </c>
      <c r="G23" s="184" t="s">
        <v>1493</v>
      </c>
      <c r="H23" s="184"/>
    </row>
    <row r="24" spans="2:8" ht="18.75">
      <c r="B24" s="183">
        <v>13</v>
      </c>
      <c r="C24" s="184" t="s">
        <v>1494</v>
      </c>
      <c r="D24" s="185" t="s">
        <v>9</v>
      </c>
      <c r="E24" s="184" t="s">
        <v>64</v>
      </c>
      <c r="F24" s="186">
        <v>8036042484</v>
      </c>
      <c r="G24" s="184" t="s">
        <v>1495</v>
      </c>
      <c r="H24" s="184"/>
    </row>
    <row r="25" spans="2:8" ht="18.75">
      <c r="B25" s="183">
        <v>14</v>
      </c>
      <c r="C25" s="184" t="s">
        <v>1496</v>
      </c>
      <c r="D25" s="185" t="s">
        <v>9</v>
      </c>
      <c r="E25" s="184" t="s">
        <v>38</v>
      </c>
      <c r="F25" s="186">
        <v>8030888291</v>
      </c>
      <c r="G25" s="184" t="s">
        <v>1497</v>
      </c>
      <c r="H25" s="184"/>
    </row>
    <row r="26" spans="2:8" ht="18.75">
      <c r="B26" s="183">
        <v>15</v>
      </c>
      <c r="C26" s="184" t="s">
        <v>1498</v>
      </c>
      <c r="D26" s="185" t="s">
        <v>9</v>
      </c>
      <c r="E26" s="184" t="s">
        <v>10</v>
      </c>
      <c r="F26" s="186">
        <v>8024249569</v>
      </c>
      <c r="G26" s="184" t="s">
        <v>1499</v>
      </c>
      <c r="H26" s="184"/>
    </row>
    <row r="27" spans="2:8" ht="18.75">
      <c r="B27" s="183">
        <v>16</v>
      </c>
      <c r="C27" s="184" t="s">
        <v>1500</v>
      </c>
      <c r="D27" s="185" t="s">
        <v>9</v>
      </c>
      <c r="E27" s="184" t="s">
        <v>99</v>
      </c>
      <c r="F27" s="186">
        <v>8062204693</v>
      </c>
      <c r="G27" s="184" t="s">
        <v>1501</v>
      </c>
      <c r="H27" s="184"/>
    </row>
    <row r="28" spans="2:8" ht="18.75">
      <c r="B28" s="183">
        <v>17</v>
      </c>
      <c r="C28" s="184" t="s">
        <v>1502</v>
      </c>
      <c r="D28" s="185" t="s">
        <v>12</v>
      </c>
      <c r="E28" s="184" t="s">
        <v>19</v>
      </c>
      <c r="F28" s="186">
        <v>8061678485</v>
      </c>
      <c r="G28" s="184" t="s">
        <v>1503</v>
      </c>
      <c r="H28" s="184"/>
    </row>
    <row r="29" spans="2:8" ht="18.75">
      <c r="B29" s="183">
        <v>18</v>
      </c>
      <c r="C29" s="184" t="s">
        <v>1504</v>
      </c>
      <c r="D29" s="185" t="s">
        <v>9</v>
      </c>
      <c r="E29" s="184" t="s">
        <v>29</v>
      </c>
      <c r="F29" s="186">
        <v>8062271451</v>
      </c>
      <c r="G29" s="184" t="s">
        <v>1505</v>
      </c>
      <c r="H29" s="184"/>
    </row>
    <row r="30" spans="2:8" ht="18.75">
      <c r="B30" s="183">
        <v>19</v>
      </c>
      <c r="C30" s="184" t="s">
        <v>1506</v>
      </c>
      <c r="D30" s="185" t="s">
        <v>9</v>
      </c>
      <c r="E30" s="184" t="s">
        <v>16</v>
      </c>
      <c r="F30" s="186">
        <v>7037837501</v>
      </c>
      <c r="G30" s="184" t="s">
        <v>1507</v>
      </c>
      <c r="H30" s="184"/>
    </row>
    <row r="31" spans="2:8" ht="18.75">
      <c r="B31" s="183">
        <v>20</v>
      </c>
      <c r="C31" s="184" t="s">
        <v>1508</v>
      </c>
      <c r="D31" s="185" t="s">
        <v>9</v>
      </c>
      <c r="E31" s="184" t="s">
        <v>38</v>
      </c>
      <c r="F31" s="186">
        <v>8034883872</v>
      </c>
      <c r="G31" s="184" t="s">
        <v>1509</v>
      </c>
      <c r="H31" s="184"/>
    </row>
    <row r="32" spans="2:8" ht="18.75">
      <c r="B32" s="183">
        <v>21</v>
      </c>
      <c r="C32" s="184" t="s">
        <v>1510</v>
      </c>
      <c r="D32" s="185" t="s">
        <v>12</v>
      </c>
      <c r="E32" s="184" t="s">
        <v>43</v>
      </c>
      <c r="F32" s="186">
        <v>8026942347</v>
      </c>
      <c r="G32" s="184" t="s">
        <v>1511</v>
      </c>
      <c r="H32" s="184"/>
    </row>
    <row r="33" spans="2:8" ht="18.75">
      <c r="B33" s="183">
        <v>22</v>
      </c>
      <c r="C33" s="184" t="s">
        <v>1512</v>
      </c>
      <c r="D33" s="185" t="s">
        <v>12</v>
      </c>
      <c r="E33" s="184" t="s">
        <v>71</v>
      </c>
      <c r="F33" s="186">
        <v>8034623952</v>
      </c>
      <c r="G33" s="184" t="s">
        <v>1513</v>
      </c>
      <c r="H33" s="184"/>
    </row>
    <row r="34" spans="2:8" ht="18.75">
      <c r="B34" s="183">
        <v>23</v>
      </c>
      <c r="C34" s="184" t="s">
        <v>1514</v>
      </c>
      <c r="D34" s="185" t="s">
        <v>12</v>
      </c>
      <c r="E34" s="184" t="s">
        <v>71</v>
      </c>
      <c r="F34" s="186">
        <v>8033662091</v>
      </c>
      <c r="G34" s="184" t="s">
        <v>1515</v>
      </c>
      <c r="H34" s="184"/>
    </row>
    <row r="35" spans="2:8" ht="18.75">
      <c r="B35" s="183">
        <v>24</v>
      </c>
      <c r="C35" s="184" t="s">
        <v>1516</v>
      </c>
      <c r="D35" s="185"/>
      <c r="E35" s="184" t="s">
        <v>31</v>
      </c>
      <c r="F35" s="186">
        <v>8028379297</v>
      </c>
      <c r="G35" s="184" t="s">
        <v>1517</v>
      </c>
      <c r="H35" s="184"/>
    </row>
    <row r="36" spans="2:8" ht="18.75">
      <c r="B36" s="183">
        <v>25</v>
      </c>
      <c r="C36" s="184" t="s">
        <v>1518</v>
      </c>
      <c r="D36" s="185" t="s">
        <v>12</v>
      </c>
      <c r="E36" s="184" t="s">
        <v>218</v>
      </c>
      <c r="F36" s="186">
        <v>8030658483</v>
      </c>
      <c r="G36" s="184" t="s">
        <v>1519</v>
      </c>
      <c r="H36" s="184"/>
    </row>
    <row r="37" spans="2:8" ht="18.75">
      <c r="B37" s="183">
        <v>26</v>
      </c>
      <c r="C37" s="184" t="s">
        <v>1463</v>
      </c>
      <c r="D37" s="185" t="s">
        <v>9</v>
      </c>
      <c r="E37" s="184" t="s">
        <v>16</v>
      </c>
      <c r="F37" s="186">
        <v>7038625295</v>
      </c>
      <c r="G37" s="184" t="s">
        <v>1520</v>
      </c>
      <c r="H37" s="184"/>
    </row>
    <row r="38" spans="2:8" ht="18.75">
      <c r="B38" s="183">
        <v>27</v>
      </c>
      <c r="C38" s="184" t="s">
        <v>1521</v>
      </c>
      <c r="D38" s="185" t="s">
        <v>9</v>
      </c>
      <c r="E38" s="184" t="s">
        <v>64</v>
      </c>
      <c r="F38" s="186">
        <v>8066360416</v>
      </c>
      <c r="G38" s="184" t="s">
        <v>1522</v>
      </c>
      <c r="H38" s="184"/>
    </row>
    <row r="39" spans="2:8" ht="18.75">
      <c r="B39" s="183">
        <v>28</v>
      </c>
      <c r="C39" s="184" t="s">
        <v>1523</v>
      </c>
      <c r="D39" s="185" t="s">
        <v>9</v>
      </c>
      <c r="E39" s="184" t="s">
        <v>10</v>
      </c>
      <c r="F39" s="186">
        <v>8033672783</v>
      </c>
      <c r="G39" s="184" t="s">
        <v>1524</v>
      </c>
      <c r="H39" s="184"/>
    </row>
    <row r="40" spans="2:8" ht="18.75">
      <c r="B40" s="183">
        <v>29</v>
      </c>
      <c r="C40" s="184" t="s">
        <v>1525</v>
      </c>
      <c r="D40" s="185" t="s">
        <v>12</v>
      </c>
      <c r="E40" s="184" t="s">
        <v>19</v>
      </c>
      <c r="F40" s="186">
        <v>8038255937</v>
      </c>
      <c r="G40" s="184" t="s">
        <v>1526</v>
      </c>
      <c r="H40" s="184"/>
    </row>
    <row r="41" spans="2:8" ht="18.75">
      <c r="B41" s="183">
        <v>30</v>
      </c>
      <c r="C41" s="184" t="s">
        <v>1527</v>
      </c>
      <c r="D41" s="185" t="s">
        <v>9</v>
      </c>
      <c r="E41" s="184" t="s">
        <v>38</v>
      </c>
      <c r="F41" s="186">
        <v>7031852563</v>
      </c>
      <c r="G41" s="184" t="s">
        <v>1505</v>
      </c>
      <c r="H41" s="184"/>
    </row>
    <row r="42" spans="2:8" ht="18.75">
      <c r="B42" s="183">
        <v>31</v>
      </c>
      <c r="C42" s="184" t="s">
        <v>1528</v>
      </c>
      <c r="D42" s="185" t="s">
        <v>12</v>
      </c>
      <c r="E42" s="184" t="s">
        <v>53</v>
      </c>
      <c r="F42" s="186">
        <v>8076057155</v>
      </c>
      <c r="G42" s="184" t="s">
        <v>1529</v>
      </c>
      <c r="H42" s="184"/>
    </row>
    <row r="43" spans="2:8" ht="18.75">
      <c r="B43" s="183">
        <v>32</v>
      </c>
      <c r="C43" s="184" t="s">
        <v>1530</v>
      </c>
      <c r="D43" s="185" t="s">
        <v>12</v>
      </c>
      <c r="E43" s="184" t="s">
        <v>43</v>
      </c>
      <c r="F43" s="186">
        <v>8059849292</v>
      </c>
      <c r="G43" s="184" t="s">
        <v>1531</v>
      </c>
      <c r="H43" s="184"/>
    </row>
    <row r="44" spans="2:8" ht="18.75">
      <c r="B44" s="183">
        <v>33</v>
      </c>
      <c r="C44" s="184" t="s">
        <v>1532</v>
      </c>
      <c r="D44" s="185"/>
      <c r="E44" s="184" t="s">
        <v>21</v>
      </c>
      <c r="F44" s="186">
        <v>8034377884</v>
      </c>
      <c r="G44" s="184" t="s">
        <v>1533</v>
      </c>
      <c r="H44" s="184"/>
    </row>
    <row r="45" spans="2:8" ht="18.75">
      <c r="B45" s="183">
        <v>34</v>
      </c>
      <c r="C45" s="184" t="s">
        <v>1534</v>
      </c>
      <c r="D45" s="185" t="s">
        <v>12</v>
      </c>
      <c r="E45" s="184" t="s">
        <v>113</v>
      </c>
      <c r="F45" s="186">
        <v>8038589616</v>
      </c>
      <c r="G45" s="184" t="s">
        <v>1535</v>
      </c>
      <c r="H45" s="184"/>
    </row>
    <row r="46" spans="2:8" ht="18.75">
      <c r="B46" s="183">
        <v>35</v>
      </c>
      <c r="C46" s="184" t="s">
        <v>1536</v>
      </c>
      <c r="D46" s="185" t="s">
        <v>12</v>
      </c>
      <c r="E46" s="184" t="s">
        <v>21</v>
      </c>
      <c r="F46" s="186">
        <v>8068123362</v>
      </c>
      <c r="G46" s="184" t="s">
        <v>1537</v>
      </c>
      <c r="H46" s="184"/>
    </row>
    <row r="47" spans="2:8" ht="18.75">
      <c r="B47" s="183">
        <v>36</v>
      </c>
      <c r="C47" s="184" t="s">
        <v>1538</v>
      </c>
      <c r="D47" s="185" t="s">
        <v>9</v>
      </c>
      <c r="E47" s="184" t="s">
        <v>317</v>
      </c>
      <c r="F47" s="186">
        <v>8084844108</v>
      </c>
      <c r="G47" s="184" t="s">
        <v>1533</v>
      </c>
      <c r="H47" s="184"/>
    </row>
    <row r="48" spans="2:8" ht="18.75">
      <c r="B48" s="183">
        <v>37</v>
      </c>
      <c r="C48" s="184" t="s">
        <v>1539</v>
      </c>
      <c r="D48" s="185" t="s">
        <v>12</v>
      </c>
      <c r="E48" s="184" t="s">
        <v>21</v>
      </c>
      <c r="F48" s="186">
        <v>8069032404</v>
      </c>
      <c r="G48" s="184" t="s">
        <v>1540</v>
      </c>
      <c r="H48" s="184"/>
    </row>
    <row r="49" spans="2:8" ht="18.75">
      <c r="B49" s="183">
        <v>38</v>
      </c>
      <c r="C49" s="184" t="s">
        <v>1541</v>
      </c>
      <c r="D49" s="185" t="s">
        <v>12</v>
      </c>
      <c r="E49" s="184" t="s">
        <v>21</v>
      </c>
      <c r="F49" s="186">
        <v>8037998939</v>
      </c>
      <c r="G49" s="184" t="s">
        <v>1542</v>
      </c>
      <c r="H49" s="184"/>
    </row>
    <row r="50" spans="2:8" ht="18.75">
      <c r="B50" s="183">
        <v>39</v>
      </c>
      <c r="C50" s="184" t="s">
        <v>1543</v>
      </c>
      <c r="D50" s="185" t="s">
        <v>12</v>
      </c>
      <c r="E50" s="184" t="s">
        <v>218</v>
      </c>
      <c r="F50" s="186">
        <v>8035368495</v>
      </c>
      <c r="G50" s="184" t="s">
        <v>1544</v>
      </c>
      <c r="H50" s="184"/>
    </row>
    <row r="51" spans="2:8" ht="18.75">
      <c r="B51" s="183">
        <v>40</v>
      </c>
      <c r="C51" s="184" t="s">
        <v>1545</v>
      </c>
      <c r="D51" s="185"/>
      <c r="E51" s="184" t="s">
        <v>96</v>
      </c>
      <c r="F51" s="186">
        <v>8035289288</v>
      </c>
      <c r="G51" s="184" t="s">
        <v>1537</v>
      </c>
      <c r="H51" s="184"/>
    </row>
    <row r="52" spans="2:8" ht="18.75">
      <c r="B52" s="183">
        <v>41</v>
      </c>
      <c r="C52" s="184" t="s">
        <v>1546</v>
      </c>
      <c r="D52" s="185" t="s">
        <v>9</v>
      </c>
      <c r="E52" s="184" t="s">
        <v>29</v>
      </c>
      <c r="F52" s="186" t="s">
        <v>1547</v>
      </c>
      <c r="G52" s="184" t="s">
        <v>1548</v>
      </c>
      <c r="H52" s="184"/>
    </row>
    <row r="53" spans="2:8" ht="18.75">
      <c r="B53" s="183">
        <v>42</v>
      </c>
      <c r="C53" s="184" t="s">
        <v>1549</v>
      </c>
      <c r="D53" s="185" t="s">
        <v>9</v>
      </c>
      <c r="E53" s="184" t="s">
        <v>29</v>
      </c>
      <c r="F53" s="186">
        <v>8067111974</v>
      </c>
      <c r="G53" s="184" t="s">
        <v>1520</v>
      </c>
      <c r="H53" s="184"/>
    </row>
    <row r="54" spans="2:8" ht="18.75">
      <c r="B54" s="183">
        <v>43</v>
      </c>
      <c r="C54" s="184" t="s">
        <v>1550</v>
      </c>
      <c r="D54" s="185" t="s">
        <v>12</v>
      </c>
      <c r="E54" s="184" t="s">
        <v>1488</v>
      </c>
      <c r="F54" s="186">
        <v>8053222386</v>
      </c>
      <c r="G54" s="184" t="s">
        <v>1551</v>
      </c>
      <c r="H54" s="184"/>
    </row>
    <row r="55" spans="2:8" ht="18.75">
      <c r="B55" s="183">
        <v>44</v>
      </c>
      <c r="C55" s="184" t="s">
        <v>1552</v>
      </c>
      <c r="D55" s="185" t="s">
        <v>12</v>
      </c>
      <c r="E55" s="184" t="s">
        <v>19</v>
      </c>
      <c r="F55" s="186">
        <v>8024799641</v>
      </c>
      <c r="G55" s="184" t="s">
        <v>1531</v>
      </c>
      <c r="H55" s="184"/>
    </row>
    <row r="56" spans="2:8" ht="18.75">
      <c r="B56" s="183">
        <v>45</v>
      </c>
      <c r="C56" s="184" t="s">
        <v>1553</v>
      </c>
      <c r="D56" s="185" t="s">
        <v>12</v>
      </c>
      <c r="E56" s="184" t="s">
        <v>45</v>
      </c>
      <c r="F56" s="186">
        <v>8030809453</v>
      </c>
      <c r="G56" s="184" t="s">
        <v>1554</v>
      </c>
      <c r="H56" s="184"/>
    </row>
    <row r="57" spans="2:8" ht="18.75">
      <c r="B57" s="183">
        <v>46</v>
      </c>
      <c r="C57" s="184" t="s">
        <v>1555</v>
      </c>
      <c r="D57" s="185" t="s">
        <v>12</v>
      </c>
      <c r="E57" s="184" t="s">
        <v>1488</v>
      </c>
      <c r="F57" s="186">
        <v>8068496859</v>
      </c>
      <c r="G57" s="184" t="s">
        <v>1519</v>
      </c>
      <c r="H57" s="184"/>
    </row>
    <row r="58" spans="2:8" ht="18.75">
      <c r="B58" s="183">
        <v>47</v>
      </c>
      <c r="C58" s="184" t="s">
        <v>1556</v>
      </c>
      <c r="D58" s="185" t="s">
        <v>12</v>
      </c>
      <c r="E58" s="184" t="s">
        <v>118</v>
      </c>
      <c r="F58" s="186">
        <v>8036190049</v>
      </c>
      <c r="G58" s="184" t="s">
        <v>1557</v>
      </c>
      <c r="H58" s="184"/>
    </row>
    <row r="59" spans="2:8" ht="18.75">
      <c r="B59" s="183">
        <v>48</v>
      </c>
      <c r="C59" s="184" t="s">
        <v>1558</v>
      </c>
      <c r="D59" s="185" t="s">
        <v>12</v>
      </c>
      <c r="E59" s="184" t="s">
        <v>19</v>
      </c>
      <c r="F59" s="186">
        <v>8025461700</v>
      </c>
      <c r="G59" s="184" t="s">
        <v>1559</v>
      </c>
      <c r="H59" s="184"/>
    </row>
    <row r="60" spans="2:8" ht="18.75">
      <c r="B60" s="183">
        <v>49</v>
      </c>
      <c r="C60" s="184" t="s">
        <v>1560</v>
      </c>
      <c r="D60" s="185"/>
      <c r="E60" s="184" t="s">
        <v>16</v>
      </c>
      <c r="F60" s="186">
        <v>7038874737</v>
      </c>
      <c r="G60" s="184" t="s">
        <v>1561</v>
      </c>
      <c r="H60" s="184"/>
    </row>
    <row r="61" spans="2:8" ht="18.75">
      <c r="B61" s="183">
        <v>50</v>
      </c>
      <c r="C61" s="184" t="s">
        <v>1562</v>
      </c>
      <c r="D61" s="185"/>
      <c r="E61" s="184" t="s">
        <v>31</v>
      </c>
      <c r="F61" s="186">
        <v>8037643442</v>
      </c>
      <c r="G61" s="184" t="s">
        <v>1563</v>
      </c>
      <c r="H61" s="184"/>
    </row>
    <row r="62" spans="2:8" ht="18.75">
      <c r="B62" s="183">
        <v>51</v>
      </c>
      <c r="C62" s="184" t="s">
        <v>1564</v>
      </c>
      <c r="D62" s="185" t="s">
        <v>12</v>
      </c>
      <c r="E62" s="184" t="s">
        <v>144</v>
      </c>
      <c r="F62" s="186">
        <v>8022570609</v>
      </c>
      <c r="G62" s="184" t="s">
        <v>1565</v>
      </c>
      <c r="H62" s="184"/>
    </row>
    <row r="63" spans="2:8" ht="18.75">
      <c r="B63" s="183">
        <v>52</v>
      </c>
      <c r="C63" s="184" t="s">
        <v>1566</v>
      </c>
      <c r="D63" s="185" t="s">
        <v>12</v>
      </c>
      <c r="E63" s="184" t="s">
        <v>64</v>
      </c>
      <c r="F63" s="186">
        <v>8029265121</v>
      </c>
      <c r="G63" s="184" t="s">
        <v>1503</v>
      </c>
      <c r="H63" s="184"/>
    </row>
    <row r="64" spans="2:8" ht="18.75">
      <c r="B64" s="183">
        <v>53</v>
      </c>
      <c r="C64" s="184" t="s">
        <v>1567</v>
      </c>
      <c r="D64" s="185" t="s">
        <v>12</v>
      </c>
      <c r="E64" s="184" t="s">
        <v>27</v>
      </c>
      <c r="F64" s="186">
        <v>8067219186</v>
      </c>
      <c r="G64" s="184" t="s">
        <v>1568</v>
      </c>
      <c r="H64" s="184"/>
    </row>
    <row r="65" spans="2:8" ht="18.75">
      <c r="B65" s="183">
        <v>54</v>
      </c>
      <c r="C65" s="184" t="s">
        <v>1569</v>
      </c>
      <c r="D65" s="185" t="s">
        <v>12</v>
      </c>
      <c r="E65" s="184" t="s">
        <v>29</v>
      </c>
      <c r="F65" s="186">
        <v>8060306201</v>
      </c>
      <c r="G65" s="184" t="s">
        <v>1484</v>
      </c>
      <c r="H65" s="184"/>
    </row>
    <row r="66" spans="2:8" ht="18.75">
      <c r="B66" s="183">
        <v>55</v>
      </c>
      <c r="C66" s="184" t="s">
        <v>1570</v>
      </c>
      <c r="D66" s="185" t="s">
        <v>9</v>
      </c>
      <c r="E66" s="184"/>
      <c r="F66" s="186">
        <v>8067515135</v>
      </c>
      <c r="G66" s="184"/>
      <c r="H66" s="184"/>
    </row>
    <row r="67" spans="2:8" ht="18.75">
      <c r="B67" s="183">
        <v>56</v>
      </c>
      <c r="C67" s="184" t="s">
        <v>1571</v>
      </c>
      <c r="D67" s="185" t="s">
        <v>12</v>
      </c>
      <c r="E67" s="184" t="s">
        <v>62</v>
      </c>
      <c r="F67" s="186">
        <v>8032151784</v>
      </c>
      <c r="G67" s="184" t="s">
        <v>1572</v>
      </c>
      <c r="H67" s="184"/>
    </row>
    <row r="68" spans="2:8" ht="18.75">
      <c r="B68" s="183">
        <v>57</v>
      </c>
      <c r="C68" s="184" t="s">
        <v>1573</v>
      </c>
      <c r="D68" s="185" t="s">
        <v>9</v>
      </c>
      <c r="E68" s="184" t="s">
        <v>1488</v>
      </c>
      <c r="F68" s="186">
        <v>8025436073</v>
      </c>
      <c r="G68" s="184" t="s">
        <v>1544</v>
      </c>
      <c r="H68" s="184"/>
    </row>
    <row r="69" spans="2:8" ht="18.75">
      <c r="B69" s="183">
        <v>58</v>
      </c>
      <c r="C69" s="184" t="s">
        <v>1574</v>
      </c>
      <c r="D69" s="185"/>
      <c r="E69" s="184" t="s">
        <v>14</v>
      </c>
      <c r="F69" s="186">
        <v>8034884350</v>
      </c>
      <c r="G69" s="184" t="s">
        <v>1575</v>
      </c>
      <c r="H69" s="184"/>
    </row>
    <row r="70" spans="2:8" ht="18.75">
      <c r="B70" s="183">
        <v>59</v>
      </c>
      <c r="C70" s="184" t="s">
        <v>1576</v>
      </c>
      <c r="D70" s="185" t="s">
        <v>12</v>
      </c>
      <c r="E70" s="184" t="s">
        <v>45</v>
      </c>
      <c r="F70" s="186">
        <v>8066540760</v>
      </c>
      <c r="G70" s="184" t="s">
        <v>1577</v>
      </c>
      <c r="H70" s="184"/>
    </row>
    <row r="71" spans="2:8" ht="18.75">
      <c r="B71" s="183">
        <v>60</v>
      </c>
      <c r="C71" s="184" t="s">
        <v>1578</v>
      </c>
      <c r="D71" s="185" t="s">
        <v>12</v>
      </c>
      <c r="E71" s="184" t="s">
        <v>77</v>
      </c>
      <c r="F71" s="186">
        <v>8030412825</v>
      </c>
      <c r="G71" s="184" t="s">
        <v>1579</v>
      </c>
      <c r="H71" s="184"/>
    </row>
    <row r="72" spans="2:8" ht="18.75">
      <c r="B72" s="183">
        <v>61</v>
      </c>
      <c r="C72" s="184" t="s">
        <v>1580</v>
      </c>
      <c r="D72" s="185" t="s">
        <v>12</v>
      </c>
      <c r="E72" s="184" t="s">
        <v>27</v>
      </c>
      <c r="F72" s="186">
        <v>80363911561</v>
      </c>
      <c r="G72" s="184" t="s">
        <v>1581</v>
      </c>
      <c r="H72" s="184"/>
    </row>
    <row r="73" spans="2:8" ht="18.75">
      <c r="B73" s="183">
        <v>62</v>
      </c>
      <c r="C73" s="184" t="s">
        <v>1582</v>
      </c>
      <c r="D73" s="185" t="s">
        <v>12</v>
      </c>
      <c r="E73" s="184" t="s">
        <v>99</v>
      </c>
      <c r="F73" s="186">
        <v>8026318582</v>
      </c>
      <c r="G73" s="184" t="s">
        <v>1544</v>
      </c>
      <c r="H73" s="184"/>
    </row>
    <row r="74" spans="2:8" ht="18.75">
      <c r="B74" s="183">
        <v>63</v>
      </c>
      <c r="C74" s="184" t="s">
        <v>1583</v>
      </c>
      <c r="D74" s="185" t="s">
        <v>12</v>
      </c>
      <c r="E74" s="184" t="s">
        <v>144</v>
      </c>
      <c r="F74" s="186" t="s">
        <v>1584</v>
      </c>
      <c r="G74" s="184" t="s">
        <v>1585</v>
      </c>
      <c r="H74" s="184"/>
    </row>
    <row r="75" spans="2:8" ht="18.75">
      <c r="B75" s="183">
        <v>64</v>
      </c>
      <c r="C75" s="184" t="s">
        <v>1586</v>
      </c>
      <c r="D75" s="185" t="s">
        <v>12</v>
      </c>
      <c r="E75" s="184" t="s">
        <v>45</v>
      </c>
      <c r="F75" s="186">
        <v>8034224832</v>
      </c>
      <c r="G75" s="184" t="s">
        <v>1587</v>
      </c>
      <c r="H75" s="184"/>
    </row>
    <row r="76" spans="2:8" ht="18.75">
      <c r="B76" s="183">
        <v>65</v>
      </c>
      <c r="C76" s="184" t="s">
        <v>1588</v>
      </c>
      <c r="D76" s="185" t="s">
        <v>12</v>
      </c>
      <c r="E76" s="184" t="s">
        <v>21</v>
      </c>
      <c r="F76" s="186" t="s">
        <v>1589</v>
      </c>
      <c r="G76" s="184" t="s">
        <v>1590</v>
      </c>
      <c r="H76" s="184"/>
    </row>
    <row r="77" spans="2:8" ht="18.75">
      <c r="B77" s="183">
        <v>66</v>
      </c>
      <c r="C77" s="184" t="s">
        <v>1591</v>
      </c>
      <c r="D77" s="185" t="s">
        <v>9</v>
      </c>
      <c r="E77" s="184" t="s">
        <v>16</v>
      </c>
      <c r="F77" s="186">
        <v>8064839198</v>
      </c>
      <c r="G77" s="184" t="s">
        <v>1537</v>
      </c>
      <c r="H77" s="184"/>
    </row>
    <row r="78" spans="2:8" ht="18.75">
      <c r="B78" s="183">
        <v>67</v>
      </c>
      <c r="C78" s="184" t="s">
        <v>1592</v>
      </c>
      <c r="D78" s="185" t="s">
        <v>12</v>
      </c>
      <c r="E78" s="184" t="s">
        <v>21</v>
      </c>
      <c r="F78" s="186">
        <v>8039214333</v>
      </c>
      <c r="G78" s="184" t="s">
        <v>1593</v>
      </c>
      <c r="H78" s="184"/>
    </row>
    <row r="79" spans="2:8" ht="18.75">
      <c r="B79" s="183">
        <v>68</v>
      </c>
      <c r="C79" s="184" t="s">
        <v>1594</v>
      </c>
      <c r="D79" s="185" t="s">
        <v>9</v>
      </c>
      <c r="E79" s="184" t="s">
        <v>33</v>
      </c>
      <c r="F79" s="186">
        <v>8037994938</v>
      </c>
      <c r="G79" s="184" t="s">
        <v>1595</v>
      </c>
      <c r="H79" s="184"/>
    </row>
    <row r="80" spans="2:8" ht="18.75">
      <c r="B80" s="183">
        <v>69</v>
      </c>
      <c r="C80" s="184" t="s">
        <v>1596</v>
      </c>
      <c r="D80" s="185" t="s">
        <v>9</v>
      </c>
      <c r="E80" s="184" t="s">
        <v>38</v>
      </c>
      <c r="F80" s="186">
        <v>80056763676</v>
      </c>
      <c r="G80" s="184" t="s">
        <v>1597</v>
      </c>
      <c r="H80" s="184"/>
    </row>
    <row r="81" spans="2:8" ht="18.75">
      <c r="B81" s="183">
        <v>70</v>
      </c>
      <c r="C81" s="184" t="s">
        <v>1598</v>
      </c>
      <c r="D81" s="185"/>
      <c r="E81" s="184" t="s">
        <v>43</v>
      </c>
      <c r="F81" s="186">
        <v>8064853078</v>
      </c>
      <c r="G81" s="184" t="s">
        <v>1503</v>
      </c>
      <c r="H81" s="184"/>
    </row>
    <row r="82" spans="2:8" ht="18.75">
      <c r="B82" s="183">
        <v>71</v>
      </c>
      <c r="C82" s="184" t="s">
        <v>1599</v>
      </c>
      <c r="D82" s="185" t="s">
        <v>12</v>
      </c>
      <c r="E82" s="184" t="s">
        <v>77</v>
      </c>
      <c r="F82" s="186">
        <v>8065656461</v>
      </c>
      <c r="G82" s="184" t="s">
        <v>1600</v>
      </c>
      <c r="H82" s="184"/>
    </row>
    <row r="83" spans="2:8" ht="18.75">
      <c r="B83" s="183">
        <v>72</v>
      </c>
      <c r="C83" s="184" t="s">
        <v>1601</v>
      </c>
      <c r="D83" s="185" t="s">
        <v>12</v>
      </c>
      <c r="E83" s="184" t="s">
        <v>144</v>
      </c>
      <c r="F83" s="186" t="s">
        <v>1602</v>
      </c>
      <c r="G83" s="184" t="s">
        <v>1603</v>
      </c>
      <c r="H83" s="184"/>
    </row>
    <row r="84" spans="2:8" ht="18.75">
      <c r="B84" s="183">
        <v>73</v>
      </c>
      <c r="C84" s="184" t="s">
        <v>1604</v>
      </c>
      <c r="D84" s="185" t="s">
        <v>12</v>
      </c>
      <c r="E84" s="184" t="s">
        <v>29</v>
      </c>
      <c r="F84" s="186">
        <v>8034986187</v>
      </c>
      <c r="G84" s="184" t="s">
        <v>1605</v>
      </c>
      <c r="H84" s="184"/>
    </row>
    <row r="85" spans="2:8" ht="18.75">
      <c r="B85" s="183">
        <v>74</v>
      </c>
      <c r="C85" s="184" t="s">
        <v>1606</v>
      </c>
      <c r="D85" s="185" t="s">
        <v>9</v>
      </c>
      <c r="E85" s="184" t="s">
        <v>62</v>
      </c>
      <c r="F85" s="186">
        <v>8067112371</v>
      </c>
      <c r="G85" s="184" t="s">
        <v>1607</v>
      </c>
      <c r="H85" s="184"/>
    </row>
    <row r="86" spans="2:8" ht="18.75">
      <c r="B86" s="183">
        <v>75</v>
      </c>
      <c r="C86" s="184" t="s">
        <v>1608</v>
      </c>
      <c r="D86" s="185" t="s">
        <v>12</v>
      </c>
      <c r="E86" s="184" t="s">
        <v>45</v>
      </c>
      <c r="F86" s="186">
        <v>8025482174</v>
      </c>
      <c r="G86" s="184" t="s">
        <v>1609</v>
      </c>
      <c r="H86" s="184"/>
    </row>
    <row r="87" spans="2:8" ht="18.75">
      <c r="B87" s="183">
        <v>76</v>
      </c>
      <c r="C87" s="184" t="s">
        <v>1610</v>
      </c>
      <c r="D87" s="185" t="s">
        <v>12</v>
      </c>
      <c r="E87" s="184" t="s">
        <v>38</v>
      </c>
      <c r="F87" s="186">
        <v>8062508781</v>
      </c>
      <c r="G87" s="184" t="s">
        <v>1611</v>
      </c>
      <c r="H87" s="184"/>
    </row>
    <row r="88" spans="2:8" ht="18.75">
      <c r="B88" s="183">
        <v>77</v>
      </c>
      <c r="C88" s="184" t="s">
        <v>1612</v>
      </c>
      <c r="D88" s="185" t="s">
        <v>12</v>
      </c>
      <c r="E88" s="184" t="s">
        <v>43</v>
      </c>
      <c r="F88" s="186">
        <v>8038280064</v>
      </c>
      <c r="G88" s="184" t="s">
        <v>1613</v>
      </c>
      <c r="H88" s="184"/>
    </row>
    <row r="89" spans="2:8" ht="18.75">
      <c r="B89" s="183">
        <v>78</v>
      </c>
      <c r="C89" s="184" t="s">
        <v>1614</v>
      </c>
      <c r="D89" s="185" t="s">
        <v>12</v>
      </c>
      <c r="E89" s="184" t="s">
        <v>33</v>
      </c>
      <c r="F89" s="186">
        <v>8067586444</v>
      </c>
      <c r="G89" s="184" t="s">
        <v>1615</v>
      </c>
      <c r="H89" s="184"/>
    </row>
    <row r="90" spans="2:8" ht="18.75">
      <c r="B90" s="183">
        <v>79</v>
      </c>
      <c r="C90" s="184" t="s">
        <v>1616</v>
      </c>
      <c r="D90" s="185" t="s">
        <v>12</v>
      </c>
      <c r="E90" s="184" t="s">
        <v>21</v>
      </c>
      <c r="F90" s="186">
        <v>8074624498</v>
      </c>
      <c r="G90" s="184" t="s">
        <v>1568</v>
      </c>
      <c r="H90" s="184"/>
    </row>
    <row r="91" spans="2:8" ht="18.75">
      <c r="B91" s="183">
        <v>80</v>
      </c>
      <c r="C91" s="184" t="s">
        <v>1617</v>
      </c>
      <c r="D91" s="185" t="s">
        <v>9</v>
      </c>
      <c r="E91" s="184" t="s">
        <v>96</v>
      </c>
      <c r="F91" s="186">
        <v>8034979215</v>
      </c>
      <c r="G91" s="184" t="s">
        <v>1618</v>
      </c>
      <c r="H91" s="184"/>
    </row>
    <row r="92" spans="2:8" ht="18.75">
      <c r="B92" s="183">
        <v>81</v>
      </c>
      <c r="C92" s="184" t="s">
        <v>1619</v>
      </c>
      <c r="D92" s="185" t="s">
        <v>12</v>
      </c>
      <c r="E92" s="184" t="s">
        <v>71</v>
      </c>
      <c r="F92" s="186">
        <v>8052254063</v>
      </c>
      <c r="G92" s="184" t="s">
        <v>1620</v>
      </c>
      <c r="H92" s="184"/>
    </row>
    <row r="93" spans="2:8" ht="18.75">
      <c r="B93" s="183">
        <v>82</v>
      </c>
      <c r="C93" s="184" t="s">
        <v>1621</v>
      </c>
      <c r="D93" s="185" t="s">
        <v>12</v>
      </c>
      <c r="E93" s="184" t="s">
        <v>16</v>
      </c>
      <c r="F93" s="186">
        <v>8062929972</v>
      </c>
      <c r="G93" s="184" t="s">
        <v>1622</v>
      </c>
      <c r="H93" s="184"/>
    </row>
    <row r="94" spans="2:8" ht="18.75">
      <c r="B94" s="183">
        <v>83</v>
      </c>
      <c r="C94" s="184" t="s">
        <v>1623</v>
      </c>
      <c r="D94" s="185" t="s">
        <v>9</v>
      </c>
      <c r="E94" s="184" t="s">
        <v>16</v>
      </c>
      <c r="F94" s="186">
        <v>7038408031</v>
      </c>
      <c r="G94" s="184" t="s">
        <v>1624</v>
      </c>
      <c r="H94" s="184"/>
    </row>
    <row r="95" spans="2:8" ht="18.75">
      <c r="B95" s="183">
        <v>84</v>
      </c>
      <c r="C95" s="184" t="s">
        <v>1625</v>
      </c>
      <c r="D95" s="185" t="s">
        <v>12</v>
      </c>
      <c r="E95" s="184" t="s">
        <v>1488</v>
      </c>
      <c r="F95" s="186" t="s">
        <v>1626</v>
      </c>
      <c r="G95" s="184" t="s">
        <v>1627</v>
      </c>
      <c r="H95" s="184"/>
    </row>
    <row r="96" spans="2:8" ht="18.75">
      <c r="B96" s="183">
        <v>85</v>
      </c>
      <c r="C96" s="184" t="s">
        <v>1628</v>
      </c>
      <c r="D96" s="185" t="s">
        <v>9</v>
      </c>
      <c r="E96" s="184" t="s">
        <v>16</v>
      </c>
      <c r="F96" s="186">
        <v>8032432733</v>
      </c>
      <c r="G96" s="184" t="s">
        <v>1629</v>
      </c>
      <c r="H96" s="184"/>
    </row>
    <row r="97" spans="2:8" ht="18.75">
      <c r="B97" s="183">
        <v>86</v>
      </c>
      <c r="C97" s="184" t="s">
        <v>1630</v>
      </c>
      <c r="D97" s="185" t="s">
        <v>12</v>
      </c>
      <c r="E97" s="184" t="s">
        <v>38</v>
      </c>
      <c r="F97" s="186" t="s">
        <v>1631</v>
      </c>
      <c r="G97" s="184" t="s">
        <v>1615</v>
      </c>
      <c r="H97" s="184"/>
    </row>
    <row r="98" spans="2:8" ht="18.75">
      <c r="B98" s="183">
        <v>87</v>
      </c>
      <c r="C98" s="184" t="s">
        <v>1632</v>
      </c>
      <c r="D98" s="185" t="s">
        <v>12</v>
      </c>
      <c r="E98" s="184" t="s">
        <v>144</v>
      </c>
      <c r="F98" s="186">
        <v>8059490401</v>
      </c>
      <c r="G98" s="184" t="s">
        <v>1633</v>
      </c>
      <c r="H98" s="184"/>
    </row>
    <row r="99" spans="2:8" ht="18.75">
      <c r="B99" s="183">
        <v>88</v>
      </c>
      <c r="C99" s="184" t="s">
        <v>1634</v>
      </c>
      <c r="D99" s="185" t="s">
        <v>9</v>
      </c>
      <c r="E99" s="184" t="s">
        <v>99</v>
      </c>
      <c r="F99" s="186">
        <v>8035902446</v>
      </c>
      <c r="G99" s="184" t="s">
        <v>1635</v>
      </c>
      <c r="H99" s="184"/>
    </row>
    <row r="100" spans="2:8" ht="18.75">
      <c r="B100" s="183">
        <v>89</v>
      </c>
      <c r="C100" s="184" t="s">
        <v>1636</v>
      </c>
      <c r="D100" s="185" t="s">
        <v>9</v>
      </c>
      <c r="E100" s="184" t="s">
        <v>21</v>
      </c>
      <c r="F100" s="186">
        <v>8032320463</v>
      </c>
      <c r="G100" s="184" t="s">
        <v>1637</v>
      </c>
      <c r="H100" s="184"/>
    </row>
    <row r="101" spans="2:8" ht="18.75">
      <c r="B101" s="183">
        <v>90</v>
      </c>
      <c r="C101" s="184" t="s">
        <v>1638</v>
      </c>
      <c r="D101" s="185" t="s">
        <v>9</v>
      </c>
      <c r="E101" s="184" t="s">
        <v>1639</v>
      </c>
      <c r="F101" s="186">
        <v>8034899177</v>
      </c>
      <c r="G101" s="184" t="s">
        <v>1585</v>
      </c>
      <c r="H101" s="184"/>
    </row>
    <row r="102" spans="2:8" ht="18.75">
      <c r="B102" s="183">
        <v>91</v>
      </c>
      <c r="C102" s="184" t="s">
        <v>1640</v>
      </c>
      <c r="D102" s="185" t="s">
        <v>9</v>
      </c>
      <c r="E102" s="184" t="s">
        <v>96</v>
      </c>
      <c r="F102" s="186">
        <v>8026898517</v>
      </c>
      <c r="G102" s="184" t="s">
        <v>1641</v>
      </c>
      <c r="H102" s="184"/>
    </row>
    <row r="103" spans="2:8" ht="18.75">
      <c r="B103" s="183">
        <v>92</v>
      </c>
      <c r="C103" s="184" t="s">
        <v>1642</v>
      </c>
      <c r="D103" s="185" t="s">
        <v>12</v>
      </c>
      <c r="E103" s="184" t="s">
        <v>118</v>
      </c>
      <c r="F103" s="186">
        <v>8034935794</v>
      </c>
      <c r="G103" s="184" t="s">
        <v>1643</v>
      </c>
      <c r="H103" s="184"/>
    </row>
    <row r="104" spans="2:8" ht="18.75">
      <c r="B104" s="183">
        <v>93</v>
      </c>
      <c r="C104" s="184" t="s">
        <v>1644</v>
      </c>
      <c r="D104" s="185" t="s">
        <v>12</v>
      </c>
      <c r="E104" s="184" t="s">
        <v>49</v>
      </c>
      <c r="F104" s="186">
        <v>8034200841</v>
      </c>
      <c r="G104" s="184" t="s">
        <v>1645</v>
      </c>
      <c r="H104" s="184"/>
    </row>
    <row r="105" spans="2:8" ht="18.75">
      <c r="B105" s="183">
        <v>94</v>
      </c>
      <c r="C105" s="184" t="s">
        <v>1646</v>
      </c>
      <c r="D105" s="185" t="s">
        <v>12</v>
      </c>
      <c r="E105" s="184" t="s">
        <v>16</v>
      </c>
      <c r="F105" s="186">
        <v>8038255255</v>
      </c>
      <c r="G105" s="184" t="s">
        <v>1471</v>
      </c>
      <c r="H105" s="184"/>
    </row>
    <row r="106" spans="2:8" ht="18.75">
      <c r="B106" s="183">
        <v>95</v>
      </c>
      <c r="C106" s="184" t="s">
        <v>1647</v>
      </c>
      <c r="D106" s="185" t="s">
        <v>12</v>
      </c>
      <c r="E106" s="184" t="s">
        <v>53</v>
      </c>
      <c r="F106" s="186">
        <v>8034258142</v>
      </c>
      <c r="G106" s="184" t="s">
        <v>1611</v>
      </c>
      <c r="H106" s="184"/>
    </row>
    <row r="107" spans="2:8" ht="18.75">
      <c r="B107" s="183">
        <v>96</v>
      </c>
      <c r="C107" s="184" t="s">
        <v>1648</v>
      </c>
      <c r="D107" s="185" t="s">
        <v>9</v>
      </c>
      <c r="E107" s="184" t="s">
        <v>99</v>
      </c>
      <c r="F107" s="186">
        <v>8066088163</v>
      </c>
      <c r="G107" s="184" t="s">
        <v>1649</v>
      </c>
      <c r="H107" s="184"/>
    </row>
    <row r="108" spans="2:8" ht="18.75">
      <c r="B108" s="183">
        <v>97</v>
      </c>
      <c r="C108" s="184" t="s">
        <v>1650</v>
      </c>
      <c r="D108" s="185" t="s">
        <v>12</v>
      </c>
      <c r="E108" s="184" t="s">
        <v>25</v>
      </c>
      <c r="F108" s="186">
        <v>8036028454</v>
      </c>
      <c r="G108" s="184" t="s">
        <v>1651</v>
      </c>
      <c r="H108" s="184"/>
    </row>
    <row r="109" spans="2:8" ht="18.75">
      <c r="B109" s="183">
        <v>98</v>
      </c>
      <c r="C109" s="184" t="s">
        <v>1652</v>
      </c>
      <c r="D109" s="185" t="s">
        <v>12</v>
      </c>
      <c r="E109" s="184" t="s">
        <v>113</v>
      </c>
      <c r="F109" s="186">
        <v>8034985728</v>
      </c>
      <c r="G109" s="184" t="s">
        <v>1653</v>
      </c>
      <c r="H109" s="184"/>
    </row>
    <row r="110" spans="2:8" ht="18.75">
      <c r="B110" s="183">
        <v>99</v>
      </c>
      <c r="C110" s="184" t="s">
        <v>1654</v>
      </c>
      <c r="D110" s="185" t="s">
        <v>9</v>
      </c>
      <c r="E110" s="184" t="s">
        <v>1655</v>
      </c>
      <c r="F110" s="186">
        <v>8024062429</v>
      </c>
      <c r="G110" s="184" t="s">
        <v>1656</v>
      </c>
      <c r="H110" s="184"/>
    </row>
    <row r="111" spans="2:8" ht="18.75">
      <c r="B111" s="183">
        <v>100</v>
      </c>
      <c r="C111" s="184" t="s">
        <v>1657</v>
      </c>
      <c r="D111" s="185" t="s">
        <v>12</v>
      </c>
      <c r="E111" s="184" t="s">
        <v>1488</v>
      </c>
      <c r="F111" s="186">
        <v>8035434937</v>
      </c>
      <c r="G111" s="184" t="s">
        <v>1658</v>
      </c>
      <c r="H111" s="184"/>
    </row>
    <row r="112" spans="2:8" ht="18.75">
      <c r="B112" s="183">
        <v>101</v>
      </c>
      <c r="C112" s="184" t="s">
        <v>1659</v>
      </c>
      <c r="D112" s="185" t="s">
        <v>9</v>
      </c>
      <c r="E112" s="184"/>
      <c r="F112" s="186">
        <v>80366439795</v>
      </c>
      <c r="G112" s="184" t="s">
        <v>1660</v>
      </c>
      <c r="H112" s="184"/>
    </row>
    <row r="113" spans="2:8" ht="18.75">
      <c r="B113" s="183">
        <v>102</v>
      </c>
      <c r="C113" s="184" t="s">
        <v>1661</v>
      </c>
      <c r="D113" s="185" t="s">
        <v>12</v>
      </c>
      <c r="E113" s="184" t="s">
        <v>118</v>
      </c>
      <c r="F113" s="186">
        <v>8029162280</v>
      </c>
      <c r="G113" s="184" t="s">
        <v>1662</v>
      </c>
      <c r="H113" s="184"/>
    </row>
    <row r="114" spans="2:8" ht="18.75">
      <c r="B114" s="183">
        <v>103</v>
      </c>
      <c r="C114" s="184" t="s">
        <v>1663</v>
      </c>
      <c r="D114" s="185" t="s">
        <v>12</v>
      </c>
      <c r="E114" s="184" t="s">
        <v>21</v>
      </c>
      <c r="F114" s="186">
        <v>8032868545</v>
      </c>
      <c r="G114" s="184" t="s">
        <v>1664</v>
      </c>
      <c r="H114" s="184"/>
    </row>
    <row r="115" spans="2:8" ht="18.75">
      <c r="B115" s="183">
        <v>104</v>
      </c>
      <c r="C115" s="184" t="s">
        <v>1665</v>
      </c>
      <c r="D115" s="185" t="s">
        <v>9</v>
      </c>
      <c r="E115" s="184" t="s">
        <v>10</v>
      </c>
      <c r="F115" s="186">
        <v>8030724308</v>
      </c>
      <c r="G115" s="184" t="s">
        <v>1666</v>
      </c>
      <c r="H115" s="184"/>
    </row>
    <row r="116" spans="2:8" ht="18.75">
      <c r="B116" s="183">
        <v>105</v>
      </c>
      <c r="C116" s="184" t="s">
        <v>1667</v>
      </c>
      <c r="D116" s="185" t="s">
        <v>12</v>
      </c>
      <c r="E116" s="184" t="s">
        <v>1488</v>
      </c>
      <c r="F116" s="186">
        <v>8035831642</v>
      </c>
      <c r="G116" s="184" t="s">
        <v>1668</v>
      </c>
      <c r="H116" s="184"/>
    </row>
    <row r="117" spans="2:8" ht="18.75">
      <c r="B117" s="183">
        <v>106</v>
      </c>
      <c r="C117" s="184" t="s">
        <v>1669</v>
      </c>
      <c r="D117" s="185" t="s">
        <v>9</v>
      </c>
      <c r="E117" s="184" t="s">
        <v>27</v>
      </c>
      <c r="F117" s="186">
        <v>8033618750</v>
      </c>
      <c r="G117" s="184" t="s">
        <v>1670</v>
      </c>
      <c r="H117" s="184"/>
    </row>
    <row r="118" spans="2:8" ht="18.75">
      <c r="B118" s="183">
        <v>107</v>
      </c>
      <c r="C118" s="184" t="s">
        <v>1671</v>
      </c>
      <c r="D118" s="185" t="s">
        <v>9</v>
      </c>
      <c r="E118" s="184" t="s">
        <v>218</v>
      </c>
      <c r="F118" s="186">
        <v>8060178479</v>
      </c>
      <c r="G118" s="184" t="s">
        <v>1672</v>
      </c>
      <c r="H118" s="184"/>
    </row>
    <row r="119" spans="2:8" ht="18.75">
      <c r="B119" s="183">
        <v>108</v>
      </c>
      <c r="C119" s="184" t="s">
        <v>1673</v>
      </c>
      <c r="D119" s="185" t="s">
        <v>9</v>
      </c>
      <c r="E119" s="184" t="s">
        <v>99</v>
      </c>
      <c r="F119" s="186" t="s">
        <v>1712</v>
      </c>
      <c r="G119" s="184" t="s">
        <v>1635</v>
      </c>
      <c r="H119" s="184"/>
    </row>
    <row r="120" spans="2:8" ht="18.75">
      <c r="B120" s="183">
        <v>109</v>
      </c>
      <c r="C120" s="184" t="s">
        <v>1674</v>
      </c>
      <c r="D120" s="185" t="s">
        <v>12</v>
      </c>
      <c r="E120" s="184" t="s">
        <v>77</v>
      </c>
      <c r="F120" s="186">
        <v>8038002172</v>
      </c>
      <c r="G120" s="184" t="s">
        <v>1675</v>
      </c>
      <c r="H120" s="184"/>
    </row>
    <row r="121" spans="2:8" ht="18.75">
      <c r="B121" s="183">
        <v>110</v>
      </c>
      <c r="C121" s="184" t="s">
        <v>1676</v>
      </c>
      <c r="D121" s="185" t="s">
        <v>9</v>
      </c>
      <c r="E121" s="184" t="s">
        <v>62</v>
      </c>
      <c r="F121" s="186">
        <v>8025324072</v>
      </c>
      <c r="G121" s="184" t="s">
        <v>1677</v>
      </c>
      <c r="H121" s="184"/>
    </row>
    <row r="122" spans="2:8" ht="18.75">
      <c r="B122" s="183">
        <v>111</v>
      </c>
      <c r="C122" s="184" t="s">
        <v>1678</v>
      </c>
      <c r="D122" s="185" t="s">
        <v>12</v>
      </c>
      <c r="E122" s="184" t="s">
        <v>27</v>
      </c>
      <c r="F122" s="186">
        <v>80773326424</v>
      </c>
      <c r="G122" s="184" t="s">
        <v>1679</v>
      </c>
      <c r="H122" s="184"/>
    </row>
    <row r="123" spans="2:8" ht="18.75">
      <c r="B123" s="183">
        <v>112</v>
      </c>
      <c r="C123" s="184" t="s">
        <v>1680</v>
      </c>
      <c r="D123" s="185"/>
      <c r="E123" s="184" t="s">
        <v>144</v>
      </c>
      <c r="F123" s="186">
        <v>8060806393</v>
      </c>
      <c r="G123" s="184" t="s">
        <v>1681</v>
      </c>
      <c r="H123" s="184"/>
    </row>
    <row r="124" spans="2:8" ht="18.75">
      <c r="B124" s="183">
        <v>113</v>
      </c>
      <c r="C124" s="184" t="s">
        <v>1682</v>
      </c>
      <c r="D124" s="185" t="s">
        <v>9</v>
      </c>
      <c r="E124" s="184" t="s">
        <v>25</v>
      </c>
      <c r="F124" s="186">
        <v>8032210661</v>
      </c>
      <c r="G124" s="184" t="s">
        <v>1683</v>
      </c>
      <c r="H124" s="184"/>
    </row>
    <row r="125" spans="2:8" ht="18.75">
      <c r="B125" s="183">
        <v>114</v>
      </c>
      <c r="C125" s="184" t="s">
        <v>1684</v>
      </c>
      <c r="D125" s="185" t="s">
        <v>12</v>
      </c>
      <c r="E125" s="184" t="s">
        <v>21</v>
      </c>
      <c r="F125" s="186">
        <v>8038664815</v>
      </c>
      <c r="G125" s="184" t="s">
        <v>1533</v>
      </c>
      <c r="H125" s="184"/>
    </row>
    <row r="126" spans="2:8" ht="18.75">
      <c r="B126" s="183">
        <v>115</v>
      </c>
      <c r="C126" s="184" t="s">
        <v>1685</v>
      </c>
      <c r="D126" s="185" t="s">
        <v>12</v>
      </c>
      <c r="E126" s="184" t="s">
        <v>218</v>
      </c>
      <c r="F126" s="186">
        <v>8066649294</v>
      </c>
      <c r="G126" s="184" t="s">
        <v>1686</v>
      </c>
      <c r="H126" s="184"/>
    </row>
    <row r="127" spans="2:8" ht="18.75">
      <c r="B127" s="183">
        <v>116</v>
      </c>
      <c r="C127" s="184" t="s">
        <v>1687</v>
      </c>
      <c r="D127" s="185" t="s">
        <v>12</v>
      </c>
      <c r="E127" s="184" t="s">
        <v>99</v>
      </c>
      <c r="F127" s="186">
        <v>8027438347</v>
      </c>
      <c r="G127" s="184" t="s">
        <v>1688</v>
      </c>
      <c r="H127" s="184"/>
    </row>
    <row r="128" spans="2:8" ht="18.75">
      <c r="B128" s="183">
        <v>117</v>
      </c>
      <c r="C128" s="184" t="s">
        <v>1689</v>
      </c>
      <c r="D128" s="185" t="s">
        <v>12</v>
      </c>
      <c r="E128" s="184" t="s">
        <v>10</v>
      </c>
      <c r="F128" s="186">
        <v>8035123539</v>
      </c>
      <c r="G128" s="184" t="s">
        <v>1690</v>
      </c>
      <c r="H128" s="184"/>
    </row>
    <row r="129" spans="2:8" ht="18.75">
      <c r="B129" s="183">
        <v>118</v>
      </c>
      <c r="C129" s="184" t="s">
        <v>1691</v>
      </c>
      <c r="D129" s="185" t="s">
        <v>12</v>
      </c>
      <c r="E129" s="184" t="s">
        <v>144</v>
      </c>
      <c r="F129" s="186" t="s">
        <v>1692</v>
      </c>
      <c r="G129" s="184" t="s">
        <v>1693</v>
      </c>
      <c r="H129" s="184"/>
    </row>
    <row r="130" spans="2:8" ht="18.75">
      <c r="B130" s="183">
        <v>119</v>
      </c>
      <c r="C130" s="184" t="s">
        <v>1694</v>
      </c>
      <c r="D130" s="185" t="s">
        <v>12</v>
      </c>
      <c r="E130" s="184" t="s">
        <v>19</v>
      </c>
      <c r="F130" s="186">
        <v>8052334748</v>
      </c>
      <c r="G130" s="184" t="s">
        <v>1695</v>
      </c>
      <c r="H130" s="184"/>
    </row>
    <row r="131" spans="2:8" ht="18.75">
      <c r="B131" s="183">
        <v>120</v>
      </c>
      <c r="C131" s="184" t="s">
        <v>1696</v>
      </c>
      <c r="D131" s="185" t="s">
        <v>12</v>
      </c>
      <c r="E131" s="184" t="s">
        <v>29</v>
      </c>
      <c r="F131" s="186">
        <v>8027297123</v>
      </c>
      <c r="G131" s="184" t="s">
        <v>1697</v>
      </c>
      <c r="H131" s="184"/>
    </row>
    <row r="132" spans="2:8" ht="18.75">
      <c r="B132" s="183">
        <v>121</v>
      </c>
      <c r="C132" s="184" t="s">
        <v>1698</v>
      </c>
      <c r="D132" s="185" t="s">
        <v>12</v>
      </c>
      <c r="E132" s="184" t="s">
        <v>62</v>
      </c>
      <c r="F132" s="186">
        <v>8038488509</v>
      </c>
      <c r="G132" s="184" t="s">
        <v>1699</v>
      </c>
      <c r="H132" s="184"/>
    </row>
    <row r="133" spans="2:8" ht="18.75">
      <c r="B133" s="183">
        <v>122</v>
      </c>
      <c r="C133" s="184" t="s">
        <v>1700</v>
      </c>
      <c r="D133" s="185" t="s">
        <v>12</v>
      </c>
      <c r="E133" s="184" t="s">
        <v>1488</v>
      </c>
      <c r="F133" s="186">
        <v>8026694832</v>
      </c>
      <c r="G133" s="184" t="s">
        <v>1701</v>
      </c>
      <c r="H133" s="184"/>
    </row>
    <row r="134" spans="2:8" ht="18.75">
      <c r="B134" s="183">
        <v>123</v>
      </c>
      <c r="C134" s="184" t="s">
        <v>1702</v>
      </c>
      <c r="D134" s="185" t="s">
        <v>12</v>
      </c>
      <c r="E134" s="184" t="s">
        <v>31</v>
      </c>
      <c r="F134" s="186">
        <v>8061173738</v>
      </c>
      <c r="G134" s="184" t="s">
        <v>1703</v>
      </c>
      <c r="H134" s="184"/>
    </row>
    <row r="135" spans="2:8" ht="18.75">
      <c r="B135" s="183">
        <v>124</v>
      </c>
      <c r="C135" s="184" t="s">
        <v>1704</v>
      </c>
      <c r="D135" s="185" t="s">
        <v>12</v>
      </c>
      <c r="E135" s="184" t="s">
        <v>19</v>
      </c>
      <c r="F135" s="186">
        <v>8035145884</v>
      </c>
      <c r="G135" s="184" t="s">
        <v>1705</v>
      </c>
      <c r="H135" s="184"/>
    </row>
    <row r="136" spans="2:8" ht="18.75">
      <c r="B136" s="183">
        <v>125</v>
      </c>
      <c r="C136" s="184" t="s">
        <v>1706</v>
      </c>
      <c r="D136" s="185" t="s">
        <v>12</v>
      </c>
      <c r="E136" s="184" t="s">
        <v>113</v>
      </c>
      <c r="F136" s="186">
        <v>8088097170</v>
      </c>
      <c r="G136" s="184" t="s">
        <v>1707</v>
      </c>
      <c r="H136" s="184"/>
    </row>
    <row r="137" spans="2:8" ht="18.75">
      <c r="B137" s="183">
        <v>126</v>
      </c>
      <c r="C137" s="184" t="s">
        <v>1708</v>
      </c>
      <c r="D137" s="185" t="s">
        <v>9</v>
      </c>
      <c r="E137" s="184" t="s">
        <v>27</v>
      </c>
      <c r="F137" s="186">
        <v>8038479396</v>
      </c>
      <c r="G137" s="184" t="s">
        <v>1709</v>
      </c>
      <c r="H137" s="184"/>
    </row>
    <row r="138" spans="2:8" ht="18.75">
      <c r="B138" s="183">
        <v>127</v>
      </c>
      <c r="C138" s="184" t="s">
        <v>1710</v>
      </c>
      <c r="D138" s="185" t="s">
        <v>12</v>
      </c>
      <c r="E138" s="184" t="s">
        <v>144</v>
      </c>
      <c r="F138" s="186">
        <v>8077788344</v>
      </c>
      <c r="G138" s="184" t="s">
        <v>1711</v>
      </c>
      <c r="H138" s="18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C3:I38"/>
  <sheetViews>
    <sheetView topLeftCell="A22" workbookViewId="0">
      <selection activeCell="G11" sqref="G11:G38"/>
    </sheetView>
  </sheetViews>
  <sheetFormatPr defaultColWidth="9" defaultRowHeight="15"/>
  <cols>
    <col min="1" max="2" width="8.5703125" customWidth="1"/>
    <col min="3" max="3" width="4.85546875" customWidth="1"/>
    <col min="4" max="4" width="27.42578125" customWidth="1"/>
    <col min="5" max="5" width="6.42578125" customWidth="1"/>
    <col min="6" max="6" width="10.5703125" customWidth="1"/>
    <col min="7" max="7" width="15.85546875" customWidth="1"/>
    <col min="8" max="8" width="10.7109375" customWidth="1"/>
    <col min="9" max="9" width="19.7109375" customWidth="1"/>
    <col min="10" max="256" width="8.5703125" customWidth="1"/>
  </cols>
  <sheetData>
    <row r="3" spans="3:9" ht="15.75">
      <c r="E3" s="42"/>
      <c r="F3" s="43"/>
      <c r="H3" s="44" t="s">
        <v>0</v>
      </c>
      <c r="I3" s="42"/>
    </row>
    <row r="4" spans="3:9" ht="15.75">
      <c r="E4" s="42"/>
      <c r="F4" s="43"/>
      <c r="H4" s="44" t="s">
        <v>1</v>
      </c>
      <c r="I4" s="42"/>
    </row>
    <row r="5" spans="3:9" ht="15.75">
      <c r="E5" s="42"/>
      <c r="F5" s="45"/>
      <c r="H5" s="46" t="s">
        <v>2</v>
      </c>
      <c r="I5" s="42"/>
    </row>
    <row r="6" spans="3:9" ht="15.75">
      <c r="D6" s="42"/>
      <c r="E6" s="45"/>
      <c r="G6" s="46"/>
      <c r="H6" s="42"/>
    </row>
    <row r="7" spans="3:9">
      <c r="D7" s="60" t="s">
        <v>1275</v>
      </c>
      <c r="E7" s="61"/>
      <c r="F7" s="61"/>
      <c r="G7" s="61"/>
      <c r="H7" s="61"/>
    </row>
    <row r="8" spans="3:9" ht="15.75">
      <c r="D8" s="62" t="s">
        <v>1273</v>
      </c>
      <c r="E8" s="61"/>
      <c r="F8" s="61"/>
      <c r="G8" s="61"/>
      <c r="H8" s="61"/>
    </row>
    <row r="10" spans="3:9">
      <c r="C10" s="79" t="s">
        <v>3</v>
      </c>
      <c r="D10" s="187" t="s">
        <v>4</v>
      </c>
      <c r="E10" s="187" t="s">
        <v>6</v>
      </c>
      <c r="F10" s="187" t="s">
        <v>7</v>
      </c>
      <c r="G10" s="187" t="s">
        <v>304</v>
      </c>
      <c r="H10" s="187" t="s">
        <v>5</v>
      </c>
      <c r="I10" s="187" t="s">
        <v>545</v>
      </c>
    </row>
    <row r="11" spans="3:9">
      <c r="C11" s="117">
        <v>1</v>
      </c>
      <c r="D11" s="117" t="s">
        <v>1782</v>
      </c>
      <c r="E11" s="117" t="s">
        <v>9</v>
      </c>
      <c r="F11" s="117" t="s">
        <v>43</v>
      </c>
      <c r="G11" s="117">
        <v>8067117231</v>
      </c>
      <c r="H11" s="115">
        <v>42382</v>
      </c>
      <c r="I11" s="117" t="s">
        <v>1783</v>
      </c>
    </row>
    <row r="12" spans="3:9">
      <c r="C12" s="117">
        <v>2</v>
      </c>
      <c r="D12" s="117" t="s">
        <v>1784</v>
      </c>
      <c r="E12" s="117"/>
      <c r="F12" s="117" t="s">
        <v>27</v>
      </c>
      <c r="G12" s="117">
        <v>8057319263</v>
      </c>
      <c r="H12" s="115">
        <v>42387</v>
      </c>
      <c r="I12" s="117" t="s">
        <v>1783</v>
      </c>
    </row>
    <row r="13" spans="3:9">
      <c r="C13" s="117">
        <v>3</v>
      </c>
      <c r="D13" s="117" t="s">
        <v>1785</v>
      </c>
      <c r="E13" s="117"/>
      <c r="F13" s="117" t="s">
        <v>62</v>
      </c>
      <c r="G13" s="117">
        <v>8068976897</v>
      </c>
      <c r="H13" s="115">
        <v>42726</v>
      </c>
      <c r="I13" s="117" t="s">
        <v>1783</v>
      </c>
    </row>
    <row r="14" spans="3:9">
      <c r="C14" s="117">
        <v>4</v>
      </c>
      <c r="D14" s="117" t="s">
        <v>1786</v>
      </c>
      <c r="E14" s="117"/>
      <c r="F14" s="117" t="s">
        <v>62</v>
      </c>
      <c r="G14" s="117">
        <v>8035125076</v>
      </c>
      <c r="H14" s="115">
        <v>42627</v>
      </c>
      <c r="I14" s="117" t="s">
        <v>1783</v>
      </c>
    </row>
    <row r="15" spans="3:9">
      <c r="C15" s="117">
        <v>5</v>
      </c>
      <c r="D15" s="117" t="s">
        <v>1787</v>
      </c>
      <c r="E15" s="117" t="s">
        <v>9</v>
      </c>
      <c r="F15" s="117" t="s">
        <v>64</v>
      </c>
      <c r="G15" s="117">
        <v>7033388932</v>
      </c>
      <c r="H15" s="115">
        <v>42457</v>
      </c>
      <c r="I15" s="117" t="s">
        <v>1783</v>
      </c>
    </row>
    <row r="16" spans="3:9">
      <c r="C16" s="117">
        <v>6</v>
      </c>
      <c r="D16" s="117" t="s">
        <v>1788</v>
      </c>
      <c r="E16" s="117" t="s">
        <v>12</v>
      </c>
      <c r="F16" s="117" t="s">
        <v>75</v>
      </c>
      <c r="G16" s="117">
        <v>8034095273</v>
      </c>
      <c r="H16" s="115">
        <v>42391</v>
      </c>
      <c r="I16" s="117" t="s">
        <v>1783</v>
      </c>
    </row>
    <row r="17" spans="3:9">
      <c r="C17" s="117">
        <v>7</v>
      </c>
      <c r="D17" s="117" t="s">
        <v>1789</v>
      </c>
      <c r="E17" s="117" t="s">
        <v>12</v>
      </c>
      <c r="F17" s="117" t="s">
        <v>27</v>
      </c>
      <c r="G17" s="117">
        <v>8056179816</v>
      </c>
      <c r="H17" s="115">
        <v>42446</v>
      </c>
      <c r="I17" s="117" t="s">
        <v>330</v>
      </c>
    </row>
    <row r="18" spans="3:9">
      <c r="C18" s="117">
        <v>8</v>
      </c>
      <c r="D18" s="117" t="s">
        <v>1790</v>
      </c>
      <c r="E18" s="117" t="s">
        <v>12</v>
      </c>
      <c r="F18" s="117" t="s">
        <v>43</v>
      </c>
      <c r="G18" s="117">
        <v>8035799932</v>
      </c>
      <c r="H18" s="115">
        <v>42464</v>
      </c>
      <c r="I18" s="117" t="s">
        <v>330</v>
      </c>
    </row>
    <row r="19" spans="3:9">
      <c r="C19" s="117">
        <v>9</v>
      </c>
      <c r="D19" s="117" t="s">
        <v>1791</v>
      </c>
      <c r="E19" s="117" t="s">
        <v>9</v>
      </c>
      <c r="F19" s="117" t="s">
        <v>29</v>
      </c>
      <c r="G19" s="117">
        <v>8030741427</v>
      </c>
      <c r="H19" s="115">
        <v>42564</v>
      </c>
      <c r="I19" s="117" t="s">
        <v>330</v>
      </c>
    </row>
    <row r="20" spans="3:9">
      <c r="C20" s="117">
        <v>10</v>
      </c>
      <c r="D20" s="117" t="s">
        <v>1792</v>
      </c>
      <c r="E20" s="117" t="s">
        <v>12</v>
      </c>
      <c r="F20" s="117" t="s">
        <v>19</v>
      </c>
      <c r="G20" s="117">
        <v>8034397019</v>
      </c>
      <c r="H20" s="115">
        <v>42615</v>
      </c>
      <c r="I20" s="117" t="s">
        <v>330</v>
      </c>
    </row>
    <row r="21" spans="3:9">
      <c r="C21" s="117">
        <v>11</v>
      </c>
      <c r="D21" s="117" t="s">
        <v>1793</v>
      </c>
      <c r="E21" s="117" t="s">
        <v>12</v>
      </c>
      <c r="F21" s="117" t="s">
        <v>1794</v>
      </c>
      <c r="G21" s="117">
        <v>8033970544</v>
      </c>
      <c r="H21" s="115">
        <v>42659</v>
      </c>
      <c r="I21" s="117" t="s">
        <v>330</v>
      </c>
    </row>
    <row r="22" spans="3:9">
      <c r="C22" s="117">
        <v>12</v>
      </c>
      <c r="D22" s="117" t="s">
        <v>1795</v>
      </c>
      <c r="E22" s="117" t="s">
        <v>12</v>
      </c>
      <c r="F22" s="117" t="s">
        <v>1794</v>
      </c>
      <c r="G22" s="117">
        <v>8039774539</v>
      </c>
      <c r="H22" s="115">
        <v>42662</v>
      </c>
      <c r="I22" s="117" t="s">
        <v>330</v>
      </c>
    </row>
    <row r="23" spans="3:9">
      <c r="C23" s="117">
        <v>13</v>
      </c>
      <c r="D23" s="117" t="s">
        <v>1796</v>
      </c>
      <c r="E23" s="117" t="s">
        <v>9</v>
      </c>
      <c r="F23" s="117" t="s">
        <v>27</v>
      </c>
      <c r="G23" s="117">
        <v>7030670659</v>
      </c>
      <c r="H23" s="115">
        <v>42665</v>
      </c>
      <c r="I23" s="117" t="s">
        <v>330</v>
      </c>
    </row>
    <row r="24" spans="3:9">
      <c r="C24" s="117">
        <v>14</v>
      </c>
      <c r="D24" s="117" t="s">
        <v>1797</v>
      </c>
      <c r="E24" s="117" t="s">
        <v>12</v>
      </c>
      <c r="F24" s="117" t="s">
        <v>62</v>
      </c>
      <c r="G24" s="117">
        <v>8038048353</v>
      </c>
      <c r="H24" s="115">
        <v>42701</v>
      </c>
      <c r="I24" s="117" t="s">
        <v>330</v>
      </c>
    </row>
    <row r="25" spans="3:9">
      <c r="C25" s="117">
        <v>15</v>
      </c>
      <c r="D25" s="117" t="s">
        <v>1798</v>
      </c>
      <c r="E25" s="117" t="s">
        <v>12</v>
      </c>
      <c r="F25" s="117" t="s">
        <v>21</v>
      </c>
      <c r="G25" s="117">
        <v>8032234727</v>
      </c>
      <c r="H25" s="115">
        <v>42590</v>
      </c>
      <c r="I25" s="117" t="s">
        <v>314</v>
      </c>
    </row>
    <row r="26" spans="3:9">
      <c r="C26" s="117">
        <v>16</v>
      </c>
      <c r="D26" s="117" t="s">
        <v>1799</v>
      </c>
      <c r="E26" s="117" t="s">
        <v>9</v>
      </c>
      <c r="F26" s="117" t="s">
        <v>10</v>
      </c>
      <c r="G26" s="117">
        <v>8038459639</v>
      </c>
      <c r="H26" s="115">
        <v>42376</v>
      </c>
      <c r="I26" s="117" t="s">
        <v>314</v>
      </c>
    </row>
    <row r="27" spans="3:9">
      <c r="C27" s="117">
        <v>17</v>
      </c>
      <c r="D27" s="117" t="s">
        <v>1800</v>
      </c>
      <c r="E27" s="117" t="s">
        <v>12</v>
      </c>
      <c r="F27" s="117" t="s">
        <v>218</v>
      </c>
      <c r="G27" s="117">
        <v>8036552522</v>
      </c>
      <c r="H27" s="115">
        <v>42642</v>
      </c>
      <c r="I27" s="117" t="s">
        <v>314</v>
      </c>
    </row>
    <row r="28" spans="3:9">
      <c r="C28" s="117">
        <v>18</v>
      </c>
      <c r="D28" s="117" t="s">
        <v>1801</v>
      </c>
      <c r="E28" s="117" t="s">
        <v>12</v>
      </c>
      <c r="F28" s="117" t="s">
        <v>38</v>
      </c>
      <c r="G28" s="117">
        <v>8068976814</v>
      </c>
      <c r="H28" s="115">
        <v>42450</v>
      </c>
      <c r="I28" s="117" t="s">
        <v>314</v>
      </c>
    </row>
    <row r="29" spans="3:9">
      <c r="C29" s="117">
        <v>19</v>
      </c>
      <c r="D29" s="117" t="s">
        <v>1802</v>
      </c>
      <c r="E29" s="117" t="s">
        <v>12</v>
      </c>
      <c r="F29" s="117" t="s">
        <v>113</v>
      </c>
      <c r="G29" s="117">
        <v>8034831502</v>
      </c>
      <c r="H29" s="115">
        <v>42375</v>
      </c>
      <c r="I29" s="117" t="s">
        <v>314</v>
      </c>
    </row>
    <row r="30" spans="3:9">
      <c r="C30" s="117">
        <v>20</v>
      </c>
      <c r="D30" s="117" t="s">
        <v>1803</v>
      </c>
      <c r="E30" s="117" t="s">
        <v>9</v>
      </c>
      <c r="F30" s="117" t="s">
        <v>218</v>
      </c>
      <c r="G30" s="117">
        <v>8062228024</v>
      </c>
      <c r="H30" s="115">
        <v>42499</v>
      </c>
      <c r="I30" s="117" t="s">
        <v>308</v>
      </c>
    </row>
    <row r="31" spans="3:9">
      <c r="C31" s="117">
        <v>21</v>
      </c>
      <c r="D31" s="117" t="s">
        <v>1804</v>
      </c>
      <c r="E31" s="117" t="s">
        <v>9</v>
      </c>
      <c r="F31" s="117" t="s">
        <v>118</v>
      </c>
      <c r="G31" s="117">
        <v>8060352988</v>
      </c>
      <c r="H31" s="115">
        <v>42541</v>
      </c>
      <c r="I31" s="117" t="s">
        <v>308</v>
      </c>
    </row>
    <row r="32" spans="3:9">
      <c r="C32" s="117">
        <v>22</v>
      </c>
      <c r="D32" s="117" t="s">
        <v>1805</v>
      </c>
      <c r="E32" s="117" t="s">
        <v>9</v>
      </c>
      <c r="F32" s="117" t="s">
        <v>38</v>
      </c>
      <c r="G32" s="117">
        <v>8037840477</v>
      </c>
      <c r="H32" s="115">
        <v>42573</v>
      </c>
      <c r="I32" s="117" t="s">
        <v>308</v>
      </c>
    </row>
    <row r="33" spans="3:9">
      <c r="C33" s="117">
        <v>23</v>
      </c>
      <c r="D33" s="117" t="s">
        <v>1806</v>
      </c>
      <c r="E33" s="117" t="s">
        <v>12</v>
      </c>
      <c r="F33" s="117" t="s">
        <v>14</v>
      </c>
      <c r="G33" s="117">
        <v>8038528643</v>
      </c>
      <c r="H33" s="115">
        <v>42632</v>
      </c>
      <c r="I33" s="117" t="s">
        <v>308</v>
      </c>
    </row>
    <row r="34" spans="3:9">
      <c r="C34" s="117">
        <v>24</v>
      </c>
      <c r="D34" s="117" t="s">
        <v>1807</v>
      </c>
      <c r="E34" s="117" t="s">
        <v>12</v>
      </c>
      <c r="F34" s="117" t="s">
        <v>27</v>
      </c>
      <c r="G34" s="117">
        <v>8039415726</v>
      </c>
      <c r="H34" s="115">
        <v>42440</v>
      </c>
      <c r="I34" s="117" t="s">
        <v>308</v>
      </c>
    </row>
    <row r="35" spans="3:9">
      <c r="C35" s="117">
        <v>25</v>
      </c>
      <c r="D35" s="117" t="s">
        <v>1808</v>
      </c>
      <c r="E35" s="117" t="s">
        <v>12</v>
      </c>
      <c r="F35" s="117" t="s">
        <v>99</v>
      </c>
      <c r="G35" s="117">
        <v>8038207756</v>
      </c>
      <c r="H35" s="115">
        <v>42513</v>
      </c>
      <c r="I35" s="117" t="s">
        <v>308</v>
      </c>
    </row>
    <row r="36" spans="3:9">
      <c r="C36" s="117">
        <v>26</v>
      </c>
      <c r="D36" s="117" t="s">
        <v>1809</v>
      </c>
      <c r="E36" s="117" t="s">
        <v>12</v>
      </c>
      <c r="F36" s="117" t="s">
        <v>14</v>
      </c>
      <c r="G36" s="117">
        <v>8038567604</v>
      </c>
      <c r="H36" s="115">
        <v>42676</v>
      </c>
      <c r="I36" s="117" t="s">
        <v>308</v>
      </c>
    </row>
    <row r="37" spans="3:9">
      <c r="C37" s="117">
        <v>27</v>
      </c>
      <c r="D37" s="117" t="s">
        <v>1810</v>
      </c>
      <c r="E37" s="117" t="s">
        <v>12</v>
      </c>
      <c r="F37" s="117" t="s">
        <v>118</v>
      </c>
      <c r="G37" s="117">
        <v>8027191851</v>
      </c>
      <c r="H37" s="115">
        <v>42431</v>
      </c>
      <c r="I37" s="117" t="s">
        <v>308</v>
      </c>
    </row>
    <row r="38" spans="3:9">
      <c r="C38" s="117">
        <v>28</v>
      </c>
      <c r="D38" s="117" t="s">
        <v>1811</v>
      </c>
      <c r="E38" s="117" t="s">
        <v>9</v>
      </c>
      <c r="F38" s="117" t="s">
        <v>49</v>
      </c>
      <c r="G38" s="117">
        <v>8060345979</v>
      </c>
      <c r="H38" s="115">
        <v>42380</v>
      </c>
      <c r="I38" s="117" t="s">
        <v>308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C2:I148"/>
  <sheetViews>
    <sheetView topLeftCell="A128" workbookViewId="0">
      <selection activeCell="G11" sqref="G11:G145"/>
    </sheetView>
  </sheetViews>
  <sheetFormatPr defaultColWidth="9" defaultRowHeight="15"/>
  <cols>
    <col min="1" max="2" width="8.5703125" customWidth="1"/>
    <col min="3" max="3" width="5.7109375" customWidth="1"/>
    <col min="4" max="4" width="23.42578125" customWidth="1"/>
    <col min="5" max="5" width="7.42578125" customWidth="1"/>
    <col min="6" max="6" width="7.140625" customWidth="1"/>
    <col min="7" max="7" width="13" customWidth="1"/>
    <col min="8" max="8" width="12.140625" customWidth="1"/>
    <col min="9" max="9" width="21.5703125" customWidth="1"/>
    <col min="10" max="256" width="8.5703125" customWidth="1"/>
  </cols>
  <sheetData>
    <row r="2" spans="3:9" ht="15.75">
      <c r="E2" s="42"/>
      <c r="F2" s="43"/>
      <c r="H2" s="44" t="s">
        <v>0</v>
      </c>
      <c r="I2" s="42"/>
    </row>
    <row r="3" spans="3:9" ht="15.75">
      <c r="E3" s="42"/>
      <c r="F3" s="43"/>
      <c r="H3" s="44" t="s">
        <v>1</v>
      </c>
      <c r="I3" s="42"/>
    </row>
    <row r="4" spans="3:9" ht="15.75">
      <c r="E4" s="42"/>
      <c r="F4" s="45"/>
      <c r="H4" s="46" t="s">
        <v>2</v>
      </c>
      <c r="I4" s="42"/>
    </row>
    <row r="5" spans="3:9" ht="15.75">
      <c r="D5" s="42"/>
      <c r="E5" s="45"/>
      <c r="G5" s="46"/>
      <c r="H5" s="42"/>
    </row>
    <row r="6" spans="3:9">
      <c r="D6" s="60" t="s">
        <v>1265</v>
      </c>
      <c r="E6" s="61"/>
      <c r="F6" s="61"/>
      <c r="G6" s="61"/>
      <c r="H6" s="61"/>
    </row>
    <row r="7" spans="3:9" ht="15.75">
      <c r="D7" s="62" t="s">
        <v>1274</v>
      </c>
      <c r="E7" s="61"/>
      <c r="F7" s="61"/>
      <c r="G7" s="61"/>
      <c r="H7" s="61"/>
    </row>
    <row r="10" spans="3:9" ht="15.75">
      <c r="C10" s="188" t="s">
        <v>3</v>
      </c>
      <c r="D10" s="189" t="s">
        <v>4</v>
      </c>
      <c r="E10" s="189" t="s">
        <v>6</v>
      </c>
      <c r="F10" s="189" t="s">
        <v>7</v>
      </c>
      <c r="G10" s="189" t="s">
        <v>1277</v>
      </c>
      <c r="H10" s="189" t="s">
        <v>305</v>
      </c>
      <c r="I10" s="189" t="s">
        <v>545</v>
      </c>
    </row>
    <row r="11" spans="3:9">
      <c r="C11" s="82">
        <v>1</v>
      </c>
      <c r="D11" s="86" t="s">
        <v>1278</v>
      </c>
      <c r="E11" s="86" t="s">
        <v>9</v>
      </c>
      <c r="F11" s="86" t="s">
        <v>10</v>
      </c>
      <c r="G11" s="86"/>
      <c r="H11" s="87">
        <v>42576</v>
      </c>
      <c r="I11" s="84"/>
    </row>
    <row r="12" spans="3:9">
      <c r="C12" s="82">
        <v>2</v>
      </c>
      <c r="D12" s="86" t="s">
        <v>1279</v>
      </c>
      <c r="E12" s="86" t="s">
        <v>12</v>
      </c>
      <c r="F12" s="86" t="s">
        <v>144</v>
      </c>
      <c r="G12" s="86">
        <v>8039237709</v>
      </c>
      <c r="H12" s="87">
        <v>42407</v>
      </c>
      <c r="I12" s="84"/>
    </row>
    <row r="13" spans="3:9">
      <c r="C13" s="82">
        <v>3</v>
      </c>
      <c r="D13" s="86" t="s">
        <v>1280</v>
      </c>
      <c r="E13" s="86" t="s">
        <v>12</v>
      </c>
      <c r="F13" s="86" t="s">
        <v>33</v>
      </c>
      <c r="G13" s="86">
        <v>8034874017</v>
      </c>
      <c r="H13" s="87">
        <v>42471</v>
      </c>
      <c r="I13" s="87"/>
    </row>
    <row r="14" spans="3:9" ht="25.5">
      <c r="C14" s="85">
        <v>4</v>
      </c>
      <c r="D14" s="86" t="s">
        <v>1281</v>
      </c>
      <c r="E14" s="86" t="s">
        <v>9</v>
      </c>
      <c r="F14" s="86" t="s">
        <v>10</v>
      </c>
      <c r="G14" s="86">
        <v>8038496718</v>
      </c>
      <c r="H14" s="87">
        <v>42426</v>
      </c>
      <c r="I14" s="87"/>
    </row>
    <row r="15" spans="3:9" ht="25.5">
      <c r="C15" s="85">
        <v>5</v>
      </c>
      <c r="D15" s="86" t="s">
        <v>1282</v>
      </c>
      <c r="E15" s="86" t="s">
        <v>12</v>
      </c>
      <c r="F15" s="86" t="s">
        <v>317</v>
      </c>
      <c r="G15" s="86">
        <v>8034175577</v>
      </c>
      <c r="H15" s="87">
        <v>42652</v>
      </c>
      <c r="I15" s="87"/>
    </row>
    <row r="16" spans="3:9">
      <c r="C16" s="85">
        <v>6</v>
      </c>
      <c r="D16" s="86" t="s">
        <v>1283</v>
      </c>
      <c r="E16" s="86" t="s">
        <v>9</v>
      </c>
      <c r="F16" s="86" t="s">
        <v>25</v>
      </c>
      <c r="G16" s="86">
        <v>8032066543</v>
      </c>
      <c r="H16" s="87">
        <v>42503</v>
      </c>
      <c r="I16" s="87"/>
    </row>
    <row r="17" spans="3:9" ht="25.5">
      <c r="C17" s="85">
        <v>7</v>
      </c>
      <c r="D17" s="86" t="s">
        <v>1284</v>
      </c>
      <c r="E17" s="86" t="s">
        <v>9</v>
      </c>
      <c r="F17" s="86" t="s">
        <v>43</v>
      </c>
      <c r="G17" s="86">
        <v>8033861358</v>
      </c>
      <c r="H17" s="87">
        <v>42583</v>
      </c>
      <c r="I17" s="87"/>
    </row>
    <row r="18" spans="3:9">
      <c r="C18" s="85">
        <v>8</v>
      </c>
      <c r="D18" s="86" t="s">
        <v>1285</v>
      </c>
      <c r="E18" s="86" t="s">
        <v>12</v>
      </c>
      <c r="F18" s="86" t="s">
        <v>118</v>
      </c>
      <c r="G18" s="86"/>
      <c r="H18" s="87">
        <v>42471</v>
      </c>
      <c r="I18" s="87"/>
    </row>
    <row r="19" spans="3:9">
      <c r="C19" s="85">
        <v>9</v>
      </c>
      <c r="D19" s="86" t="s">
        <v>1286</v>
      </c>
      <c r="E19" s="86" t="s">
        <v>12</v>
      </c>
      <c r="F19" s="86" t="s">
        <v>31</v>
      </c>
      <c r="G19" s="86"/>
      <c r="H19" s="87">
        <v>42430</v>
      </c>
      <c r="I19" s="87"/>
    </row>
    <row r="20" spans="3:9">
      <c r="C20" s="85">
        <v>10</v>
      </c>
      <c r="D20" s="86" t="s">
        <v>1287</v>
      </c>
      <c r="E20" s="86" t="s">
        <v>12</v>
      </c>
      <c r="F20" s="86" t="s">
        <v>33</v>
      </c>
      <c r="G20" s="86"/>
      <c r="H20" s="87">
        <v>42460</v>
      </c>
      <c r="I20" s="87"/>
    </row>
    <row r="21" spans="3:9">
      <c r="C21" s="85">
        <v>11</v>
      </c>
      <c r="D21" s="86" t="s">
        <v>1288</v>
      </c>
      <c r="E21" s="86" t="s">
        <v>12</v>
      </c>
      <c r="F21" s="86" t="s">
        <v>118</v>
      </c>
      <c r="G21" s="83"/>
      <c r="H21" s="84">
        <v>42590</v>
      </c>
      <c r="I21" s="84"/>
    </row>
    <row r="22" spans="3:9">
      <c r="C22" s="85">
        <v>12</v>
      </c>
      <c r="D22" s="91" t="s">
        <v>1289</v>
      </c>
      <c r="E22" s="86" t="s">
        <v>12</v>
      </c>
      <c r="F22" s="86" t="s">
        <v>1439</v>
      </c>
      <c r="G22" s="91">
        <v>8051949577</v>
      </c>
      <c r="H22" s="92">
        <v>42527</v>
      </c>
      <c r="I22" s="92"/>
    </row>
    <row r="23" spans="3:9">
      <c r="C23" s="85">
        <v>13</v>
      </c>
      <c r="D23" s="86" t="s">
        <v>1291</v>
      </c>
      <c r="E23" s="86"/>
      <c r="F23" s="86" t="s">
        <v>16</v>
      </c>
      <c r="G23" s="86"/>
      <c r="H23" s="87">
        <v>42648</v>
      </c>
      <c r="I23" s="87"/>
    </row>
    <row r="24" spans="3:9">
      <c r="C24" s="85">
        <v>14</v>
      </c>
      <c r="D24" s="91" t="s">
        <v>1292</v>
      </c>
      <c r="E24" s="91" t="s">
        <v>9</v>
      </c>
      <c r="F24" s="91" t="s">
        <v>16</v>
      </c>
      <c r="G24" s="91"/>
      <c r="H24" s="92">
        <v>42466</v>
      </c>
      <c r="I24" s="92"/>
    </row>
    <row r="25" spans="3:9" ht="25.5">
      <c r="C25" s="85">
        <v>15</v>
      </c>
      <c r="D25" s="91" t="s">
        <v>1293</v>
      </c>
      <c r="E25" s="91" t="s">
        <v>12</v>
      </c>
      <c r="F25" s="91" t="s">
        <v>27</v>
      </c>
      <c r="G25" s="91">
        <v>8056663419</v>
      </c>
      <c r="H25" s="92">
        <v>42393</v>
      </c>
      <c r="I25" s="92"/>
    </row>
    <row r="26" spans="3:9">
      <c r="C26" s="85">
        <v>16</v>
      </c>
      <c r="D26" s="86" t="s">
        <v>1294</v>
      </c>
      <c r="E26" s="86" t="s">
        <v>12</v>
      </c>
      <c r="F26" s="86" t="s">
        <v>21</v>
      </c>
      <c r="G26" s="86">
        <v>8035800345</v>
      </c>
      <c r="H26" s="87">
        <v>42540</v>
      </c>
      <c r="I26" s="87"/>
    </row>
    <row r="27" spans="3:9">
      <c r="C27" s="85">
        <v>17</v>
      </c>
      <c r="D27" s="86" t="s">
        <v>1295</v>
      </c>
      <c r="E27" s="86" t="s">
        <v>12</v>
      </c>
      <c r="F27" s="86" t="s">
        <v>29</v>
      </c>
      <c r="G27" s="86"/>
      <c r="H27" s="87">
        <v>42631</v>
      </c>
      <c r="I27" s="84"/>
    </row>
    <row r="28" spans="3:9">
      <c r="C28" s="85">
        <v>18</v>
      </c>
      <c r="D28" s="86" t="s">
        <v>1296</v>
      </c>
      <c r="E28" s="86" t="s">
        <v>12</v>
      </c>
      <c r="F28" s="86"/>
      <c r="G28" s="86"/>
      <c r="H28" s="87"/>
      <c r="I28" s="87"/>
    </row>
    <row r="29" spans="3:9">
      <c r="C29" s="85">
        <v>19</v>
      </c>
      <c r="D29" s="86" t="s">
        <v>1297</v>
      </c>
      <c r="E29" s="86" t="s">
        <v>12</v>
      </c>
      <c r="F29" s="86" t="s">
        <v>21</v>
      </c>
      <c r="G29" s="86">
        <v>8062434325</v>
      </c>
      <c r="H29" s="87">
        <v>42490</v>
      </c>
      <c r="I29" s="87"/>
    </row>
    <row r="30" spans="3:9">
      <c r="C30" s="85">
        <v>20</v>
      </c>
      <c r="D30" s="86" t="s">
        <v>1298</v>
      </c>
      <c r="E30" s="86" t="s">
        <v>12</v>
      </c>
      <c r="F30" s="86" t="s">
        <v>19</v>
      </c>
      <c r="G30" s="86"/>
      <c r="H30" s="87">
        <v>42465</v>
      </c>
      <c r="I30" s="87"/>
    </row>
    <row r="31" spans="3:9">
      <c r="C31" s="85">
        <v>21</v>
      </c>
      <c r="D31" s="86" t="s">
        <v>1299</v>
      </c>
      <c r="E31" s="86" t="s">
        <v>12</v>
      </c>
      <c r="F31" s="86" t="s">
        <v>21</v>
      </c>
      <c r="G31" s="86"/>
      <c r="H31" s="87">
        <v>42685</v>
      </c>
      <c r="I31" s="84"/>
    </row>
    <row r="32" spans="3:9">
      <c r="C32" s="85">
        <v>22</v>
      </c>
      <c r="D32" s="86" t="s">
        <v>1300</v>
      </c>
      <c r="E32" s="86" t="s">
        <v>12</v>
      </c>
      <c r="F32" s="86" t="s">
        <v>71</v>
      </c>
      <c r="G32" s="86">
        <v>8039151934</v>
      </c>
      <c r="H32" s="87">
        <v>42637</v>
      </c>
      <c r="I32" s="87"/>
    </row>
    <row r="33" spans="3:9">
      <c r="C33" s="85">
        <v>23</v>
      </c>
      <c r="D33" s="86" t="s">
        <v>1301</v>
      </c>
      <c r="E33" s="86" t="s">
        <v>12</v>
      </c>
      <c r="F33" s="86" t="s">
        <v>96</v>
      </c>
      <c r="G33" s="86"/>
      <c r="H33" s="87">
        <v>42518</v>
      </c>
      <c r="I33" s="87"/>
    </row>
    <row r="34" spans="3:9">
      <c r="C34" s="85">
        <v>24</v>
      </c>
      <c r="D34" s="86" t="s">
        <v>1302</v>
      </c>
      <c r="E34" s="86" t="s">
        <v>12</v>
      </c>
      <c r="F34" s="86" t="s">
        <v>49</v>
      </c>
      <c r="G34" s="86">
        <v>8060223279</v>
      </c>
      <c r="H34" s="87">
        <v>42515</v>
      </c>
      <c r="I34" s="87"/>
    </row>
    <row r="35" spans="3:9">
      <c r="C35" s="85">
        <v>25</v>
      </c>
      <c r="D35" s="86" t="s">
        <v>1303</v>
      </c>
      <c r="E35" s="86" t="s">
        <v>9</v>
      </c>
      <c r="F35" s="86" t="s">
        <v>218</v>
      </c>
      <c r="G35" s="86">
        <v>8038466638</v>
      </c>
      <c r="H35" s="87">
        <v>42611</v>
      </c>
      <c r="I35" s="87"/>
    </row>
    <row r="36" spans="3:9">
      <c r="C36" s="85">
        <v>26</v>
      </c>
      <c r="D36" s="91" t="s">
        <v>1304</v>
      </c>
      <c r="E36" s="91" t="s">
        <v>9</v>
      </c>
      <c r="F36" s="91" t="s">
        <v>10</v>
      </c>
      <c r="G36" s="91"/>
      <c r="H36" s="92">
        <v>42663</v>
      </c>
      <c r="I36" s="92"/>
    </row>
    <row r="37" spans="3:9">
      <c r="C37" s="85">
        <v>27</v>
      </c>
      <c r="D37" s="86" t="s">
        <v>1305</v>
      </c>
      <c r="E37" s="86" t="s">
        <v>9</v>
      </c>
      <c r="F37" s="86" t="s">
        <v>27</v>
      </c>
      <c r="G37" s="86"/>
      <c r="H37" s="87">
        <v>42616</v>
      </c>
      <c r="I37" s="87"/>
    </row>
    <row r="38" spans="3:9">
      <c r="C38" s="85">
        <v>28</v>
      </c>
      <c r="D38" s="91" t="s">
        <v>1306</v>
      </c>
      <c r="E38" s="91" t="s">
        <v>12</v>
      </c>
      <c r="F38" s="91" t="s">
        <v>144</v>
      </c>
      <c r="G38" s="91">
        <v>8034630554</v>
      </c>
      <c r="H38" s="92">
        <v>42467</v>
      </c>
      <c r="I38" s="92"/>
    </row>
    <row r="39" spans="3:9">
      <c r="C39" s="85">
        <v>29</v>
      </c>
      <c r="D39" s="86" t="s">
        <v>1307</v>
      </c>
      <c r="E39" s="86"/>
      <c r="F39" s="86" t="s">
        <v>21</v>
      </c>
      <c r="G39" s="86">
        <v>8033952333</v>
      </c>
      <c r="H39" s="87">
        <v>42523</v>
      </c>
      <c r="I39" s="84"/>
    </row>
    <row r="40" spans="3:9">
      <c r="C40" s="85">
        <v>30</v>
      </c>
      <c r="D40" s="86" t="s">
        <v>1308</v>
      </c>
      <c r="E40" s="86"/>
      <c r="F40" s="86" t="s">
        <v>10</v>
      </c>
      <c r="G40" s="86"/>
      <c r="H40" s="87">
        <v>42734</v>
      </c>
      <c r="I40" s="87"/>
    </row>
    <row r="41" spans="3:9">
      <c r="C41" s="85">
        <v>31</v>
      </c>
      <c r="D41" s="86" t="s">
        <v>1309</v>
      </c>
      <c r="E41" s="86" t="s">
        <v>12</v>
      </c>
      <c r="F41" s="86" t="s">
        <v>19</v>
      </c>
      <c r="G41" s="86">
        <v>8033645375</v>
      </c>
      <c r="H41" s="87">
        <v>42612</v>
      </c>
      <c r="I41" s="87"/>
    </row>
    <row r="42" spans="3:9">
      <c r="C42" s="85">
        <v>32</v>
      </c>
      <c r="D42" s="86" t="s">
        <v>1310</v>
      </c>
      <c r="E42" s="86" t="s">
        <v>9</v>
      </c>
      <c r="F42" s="86" t="s">
        <v>99</v>
      </c>
      <c r="G42" s="86"/>
      <c r="H42" s="87">
        <v>42387</v>
      </c>
      <c r="I42" s="87"/>
    </row>
    <row r="43" spans="3:9">
      <c r="C43" s="85">
        <v>33</v>
      </c>
      <c r="D43" s="86" t="s">
        <v>1311</v>
      </c>
      <c r="E43" s="86" t="s">
        <v>12</v>
      </c>
      <c r="F43" s="86" t="s">
        <v>14</v>
      </c>
      <c r="G43" s="86"/>
      <c r="H43" s="87">
        <v>42572</v>
      </c>
      <c r="I43" s="87"/>
    </row>
    <row r="44" spans="3:9">
      <c r="C44" s="85">
        <v>34</v>
      </c>
      <c r="D44" s="86" t="s">
        <v>1312</v>
      </c>
      <c r="E44" s="86" t="s">
        <v>12</v>
      </c>
      <c r="F44" s="86" t="s">
        <v>27</v>
      </c>
      <c r="G44" s="86">
        <v>8032098759</v>
      </c>
      <c r="H44" s="87">
        <v>42389</v>
      </c>
      <c r="I44" s="87"/>
    </row>
    <row r="45" spans="3:9" ht="25.5">
      <c r="C45" s="85">
        <v>35</v>
      </c>
      <c r="D45" s="91" t="s">
        <v>1313</v>
      </c>
      <c r="E45" s="91" t="s">
        <v>12</v>
      </c>
      <c r="F45" s="91" t="s">
        <v>118</v>
      </c>
      <c r="G45" s="91"/>
      <c r="H45" s="92">
        <v>42390</v>
      </c>
      <c r="I45" s="92"/>
    </row>
    <row r="46" spans="3:9">
      <c r="C46" s="85">
        <v>36</v>
      </c>
      <c r="D46" s="86" t="s">
        <v>1314</v>
      </c>
      <c r="E46" s="86"/>
      <c r="F46" s="86" t="s">
        <v>14</v>
      </c>
      <c r="G46" s="86"/>
      <c r="H46" s="87">
        <v>42444</v>
      </c>
      <c r="I46" s="87"/>
    </row>
    <row r="47" spans="3:9">
      <c r="C47" s="85">
        <v>37</v>
      </c>
      <c r="D47" s="86" t="s">
        <v>1315</v>
      </c>
      <c r="E47" s="86"/>
      <c r="F47" s="86" t="s">
        <v>31</v>
      </c>
      <c r="G47" s="86"/>
      <c r="H47" s="87">
        <v>42626</v>
      </c>
      <c r="I47" s="87"/>
    </row>
    <row r="48" spans="3:9">
      <c r="C48" s="85">
        <v>38</v>
      </c>
      <c r="D48" s="86" t="s">
        <v>1316</v>
      </c>
      <c r="E48" s="86" t="s">
        <v>9</v>
      </c>
      <c r="F48" s="86" t="s">
        <v>31</v>
      </c>
      <c r="G48" s="86"/>
      <c r="H48" s="87">
        <v>42388</v>
      </c>
      <c r="I48" s="87"/>
    </row>
    <row r="49" spans="3:9">
      <c r="C49" s="85">
        <v>39</v>
      </c>
      <c r="D49" s="86" t="s">
        <v>1317</v>
      </c>
      <c r="E49" s="86"/>
      <c r="F49" s="86" t="s">
        <v>77</v>
      </c>
      <c r="G49" s="86"/>
      <c r="H49" s="87"/>
      <c r="I49" s="87"/>
    </row>
    <row r="50" spans="3:9">
      <c r="C50" s="85">
        <v>40</v>
      </c>
      <c r="D50" s="91" t="s">
        <v>1318</v>
      </c>
      <c r="E50" s="94"/>
      <c r="F50" s="91" t="s">
        <v>38</v>
      </c>
      <c r="G50" s="91"/>
      <c r="H50" s="92">
        <v>42390</v>
      </c>
      <c r="I50" s="92"/>
    </row>
    <row r="51" spans="3:9">
      <c r="C51" s="85">
        <v>41</v>
      </c>
      <c r="D51" s="86" t="s">
        <v>1319</v>
      </c>
      <c r="E51" s="86"/>
      <c r="F51" s="86" t="s">
        <v>96</v>
      </c>
      <c r="G51" s="86"/>
      <c r="H51" s="87">
        <v>42684</v>
      </c>
      <c r="I51" s="87"/>
    </row>
    <row r="52" spans="3:9">
      <c r="C52" s="85">
        <v>42</v>
      </c>
      <c r="D52" s="86" t="s">
        <v>1320</v>
      </c>
      <c r="E52" s="86" t="s">
        <v>9</v>
      </c>
      <c r="F52" s="86" t="s">
        <v>144</v>
      </c>
      <c r="G52" s="86">
        <v>8035380785</v>
      </c>
      <c r="H52" s="87">
        <v>42417</v>
      </c>
      <c r="I52" s="84"/>
    </row>
    <row r="53" spans="3:9" ht="25.5">
      <c r="C53" s="85">
        <v>43</v>
      </c>
      <c r="D53" s="86" t="s">
        <v>1321</v>
      </c>
      <c r="E53" s="86" t="s">
        <v>12</v>
      </c>
      <c r="F53" s="86" t="s">
        <v>19</v>
      </c>
      <c r="G53" s="86">
        <v>8034153929</v>
      </c>
      <c r="H53" s="87">
        <v>42612</v>
      </c>
      <c r="I53" s="87"/>
    </row>
    <row r="54" spans="3:9">
      <c r="C54" s="85">
        <v>44</v>
      </c>
      <c r="D54" s="86" t="s">
        <v>1322</v>
      </c>
      <c r="E54" s="86" t="s">
        <v>9</v>
      </c>
      <c r="F54" s="86" t="s">
        <v>1323</v>
      </c>
      <c r="G54" s="86">
        <v>8035530836</v>
      </c>
      <c r="H54" s="87">
        <v>42653</v>
      </c>
      <c r="I54" s="87"/>
    </row>
    <row r="55" spans="3:9">
      <c r="C55" s="85">
        <v>45</v>
      </c>
      <c r="D55" s="86" t="s">
        <v>1324</v>
      </c>
      <c r="E55" s="86"/>
      <c r="F55" s="86" t="s">
        <v>1290</v>
      </c>
      <c r="G55" s="86">
        <v>8036896988</v>
      </c>
      <c r="H55" s="87">
        <v>42680</v>
      </c>
      <c r="I55" s="87"/>
    </row>
    <row r="56" spans="3:9">
      <c r="C56" s="85">
        <v>46</v>
      </c>
      <c r="D56" s="86" t="s">
        <v>1325</v>
      </c>
      <c r="E56" s="86" t="s">
        <v>12</v>
      </c>
      <c r="F56" s="86" t="s">
        <v>218</v>
      </c>
      <c r="G56" s="86"/>
      <c r="H56" s="87">
        <v>42642</v>
      </c>
      <c r="I56" s="87"/>
    </row>
    <row r="57" spans="3:9" ht="25.5">
      <c r="C57" s="85">
        <v>47</v>
      </c>
      <c r="D57" s="86" t="s">
        <v>1326</v>
      </c>
      <c r="E57" s="86" t="s">
        <v>12</v>
      </c>
      <c r="F57" s="86" t="s">
        <v>71</v>
      </c>
      <c r="G57" s="86">
        <v>8035205379</v>
      </c>
      <c r="H57" s="87">
        <v>42513</v>
      </c>
      <c r="I57" s="87"/>
    </row>
    <row r="58" spans="3:9">
      <c r="C58" s="85">
        <v>48</v>
      </c>
      <c r="D58" s="86" t="s">
        <v>1327</v>
      </c>
      <c r="E58" s="86" t="s">
        <v>12</v>
      </c>
      <c r="F58" s="86" t="s">
        <v>16</v>
      </c>
      <c r="G58" s="86"/>
      <c r="H58" s="87">
        <v>42674</v>
      </c>
      <c r="I58" s="87"/>
    </row>
    <row r="59" spans="3:9">
      <c r="C59" s="85">
        <v>49</v>
      </c>
      <c r="D59" s="86" t="s">
        <v>1328</v>
      </c>
      <c r="E59" s="86" t="s">
        <v>12</v>
      </c>
      <c r="F59" s="86" t="s">
        <v>118</v>
      </c>
      <c r="G59" s="86"/>
      <c r="H59" s="87">
        <v>42631</v>
      </c>
      <c r="I59" s="84"/>
    </row>
    <row r="60" spans="3:9">
      <c r="C60" s="85">
        <v>50</v>
      </c>
      <c r="D60" s="86" t="s">
        <v>1329</v>
      </c>
      <c r="E60" s="86" t="s">
        <v>12</v>
      </c>
      <c r="F60" s="86" t="s">
        <v>31</v>
      </c>
      <c r="G60" s="86"/>
      <c r="H60" s="87">
        <v>42622</v>
      </c>
      <c r="I60" s="87"/>
    </row>
    <row r="61" spans="3:9">
      <c r="C61" s="85">
        <v>51</v>
      </c>
      <c r="D61" s="86" t="s">
        <v>1330</v>
      </c>
      <c r="E61" s="86" t="s">
        <v>12</v>
      </c>
      <c r="F61" s="86" t="s">
        <v>14</v>
      </c>
      <c r="G61" s="86"/>
      <c r="H61" s="87">
        <v>42646</v>
      </c>
      <c r="I61" s="87"/>
    </row>
    <row r="62" spans="3:9">
      <c r="C62" s="85">
        <v>52</v>
      </c>
      <c r="D62" s="91" t="s">
        <v>1331</v>
      </c>
      <c r="E62" s="91" t="s">
        <v>9</v>
      </c>
      <c r="F62" s="91" t="s">
        <v>21</v>
      </c>
      <c r="G62" s="91"/>
      <c r="H62" s="92">
        <v>42448</v>
      </c>
      <c r="I62" s="92"/>
    </row>
    <row r="63" spans="3:9" ht="25.5">
      <c r="C63" s="85">
        <v>53</v>
      </c>
      <c r="D63" s="86" t="s">
        <v>1332</v>
      </c>
      <c r="E63" s="86" t="s">
        <v>9</v>
      </c>
      <c r="F63" s="86" t="s">
        <v>71</v>
      </c>
      <c r="G63" s="86"/>
      <c r="H63" s="87">
        <v>42636</v>
      </c>
      <c r="I63" s="84"/>
    </row>
    <row r="64" spans="3:9">
      <c r="C64" s="85">
        <v>54</v>
      </c>
      <c r="D64" s="86" t="s">
        <v>1333</v>
      </c>
      <c r="E64" s="86" t="s">
        <v>12</v>
      </c>
      <c r="F64" s="86" t="s">
        <v>45</v>
      </c>
      <c r="G64" s="86">
        <v>8032523465</v>
      </c>
      <c r="H64" s="87">
        <v>42622</v>
      </c>
      <c r="I64" s="87"/>
    </row>
    <row r="65" spans="3:9">
      <c r="C65" s="85">
        <v>55</v>
      </c>
      <c r="D65" s="86" t="s">
        <v>1334</v>
      </c>
      <c r="E65" s="86" t="s">
        <v>9</v>
      </c>
      <c r="F65" s="86" t="s">
        <v>21</v>
      </c>
      <c r="G65" s="86"/>
      <c r="H65" s="87">
        <v>42484</v>
      </c>
      <c r="I65" s="87"/>
    </row>
    <row r="66" spans="3:9">
      <c r="C66" s="85">
        <v>56</v>
      </c>
      <c r="D66" s="86" t="s">
        <v>1335</v>
      </c>
      <c r="E66" s="86" t="s">
        <v>12</v>
      </c>
      <c r="F66" s="86" t="s">
        <v>27</v>
      </c>
      <c r="G66" s="86"/>
      <c r="H66" s="87">
        <v>42601</v>
      </c>
      <c r="I66" s="84"/>
    </row>
    <row r="67" spans="3:9" ht="25.5">
      <c r="C67" s="85">
        <v>57</v>
      </c>
      <c r="D67" s="86" t="s">
        <v>1336</v>
      </c>
      <c r="E67" s="86" t="s">
        <v>12</v>
      </c>
      <c r="F67" s="86" t="s">
        <v>144</v>
      </c>
      <c r="G67" s="86" t="s">
        <v>1337</v>
      </c>
      <c r="H67" s="87" t="s">
        <v>1338</v>
      </c>
      <c r="I67" s="87"/>
    </row>
    <row r="68" spans="3:9">
      <c r="C68" s="85">
        <v>58</v>
      </c>
      <c r="D68" s="86" t="s">
        <v>1339</v>
      </c>
      <c r="E68" s="86" t="s">
        <v>9</v>
      </c>
      <c r="F68" s="86" t="s">
        <v>33</v>
      </c>
      <c r="G68" s="86"/>
      <c r="H68" s="87">
        <v>42594</v>
      </c>
      <c r="I68" s="87"/>
    </row>
    <row r="69" spans="3:9" ht="25.5">
      <c r="C69" s="85">
        <v>59</v>
      </c>
      <c r="D69" s="91" t="s">
        <v>1340</v>
      </c>
      <c r="E69" s="91" t="s">
        <v>9</v>
      </c>
      <c r="F69" s="91" t="s">
        <v>38</v>
      </c>
      <c r="G69" s="91">
        <v>8035768018</v>
      </c>
      <c r="H69" s="92">
        <v>42391</v>
      </c>
      <c r="I69" s="92"/>
    </row>
    <row r="70" spans="3:9">
      <c r="C70" s="85">
        <v>60</v>
      </c>
      <c r="D70" s="86" t="s">
        <v>1341</v>
      </c>
      <c r="E70" s="86" t="s">
        <v>9</v>
      </c>
      <c r="F70" s="86" t="s">
        <v>38</v>
      </c>
      <c r="G70" s="86">
        <v>8034481254</v>
      </c>
      <c r="H70" s="87">
        <v>42582</v>
      </c>
      <c r="I70" s="84"/>
    </row>
    <row r="71" spans="3:9">
      <c r="C71" s="85">
        <v>61</v>
      </c>
      <c r="D71" s="91" t="s">
        <v>1342</v>
      </c>
      <c r="E71" s="91" t="s">
        <v>9</v>
      </c>
      <c r="F71" s="91" t="s">
        <v>10</v>
      </c>
      <c r="G71" s="91"/>
      <c r="H71" s="92">
        <v>42484</v>
      </c>
      <c r="I71" s="92"/>
    </row>
    <row r="72" spans="3:9">
      <c r="C72" s="85">
        <v>62</v>
      </c>
      <c r="D72" s="86" t="s">
        <v>1343</v>
      </c>
      <c r="E72" s="86" t="s">
        <v>12</v>
      </c>
      <c r="F72" s="86" t="s">
        <v>38</v>
      </c>
      <c r="G72" s="86"/>
      <c r="H72" s="87">
        <v>42373</v>
      </c>
      <c r="I72" s="87"/>
    </row>
    <row r="73" spans="3:9" ht="25.5">
      <c r="C73" s="85">
        <v>63</v>
      </c>
      <c r="D73" s="91" t="s">
        <v>1344</v>
      </c>
      <c r="E73" s="91" t="s">
        <v>12</v>
      </c>
      <c r="F73" s="91" t="s">
        <v>43</v>
      </c>
      <c r="G73" s="91">
        <v>8028199150</v>
      </c>
      <c r="H73" s="92">
        <v>42520</v>
      </c>
      <c r="I73" s="92" t="s">
        <v>1345</v>
      </c>
    </row>
    <row r="74" spans="3:9">
      <c r="C74" s="85">
        <v>64</v>
      </c>
      <c r="D74" s="91" t="s">
        <v>1346</v>
      </c>
      <c r="E74" s="190" t="s">
        <v>12</v>
      </c>
      <c r="F74" s="190" t="s">
        <v>43</v>
      </c>
      <c r="G74" s="91"/>
      <c r="H74" s="95">
        <v>42659</v>
      </c>
      <c r="I74" s="95"/>
    </row>
    <row r="75" spans="3:9">
      <c r="C75" s="85">
        <v>65</v>
      </c>
      <c r="D75" s="86" t="s">
        <v>1347</v>
      </c>
      <c r="E75" s="86" t="s">
        <v>12</v>
      </c>
      <c r="F75" s="86" t="s">
        <v>75</v>
      </c>
      <c r="G75" s="86">
        <v>8029008551</v>
      </c>
      <c r="H75" s="87">
        <v>42672</v>
      </c>
      <c r="I75" s="87"/>
    </row>
    <row r="76" spans="3:9">
      <c r="C76" s="85">
        <v>66</v>
      </c>
      <c r="D76" s="86" t="s">
        <v>1348</v>
      </c>
      <c r="E76" s="86" t="s">
        <v>12</v>
      </c>
      <c r="F76" s="86" t="s">
        <v>144</v>
      </c>
      <c r="G76" s="86"/>
      <c r="H76" s="87">
        <v>42396</v>
      </c>
      <c r="I76" s="87"/>
    </row>
    <row r="77" spans="3:9">
      <c r="C77" s="85">
        <v>67</v>
      </c>
      <c r="D77" s="86" t="s">
        <v>1349</v>
      </c>
      <c r="E77" s="86" t="s">
        <v>9</v>
      </c>
      <c r="F77" s="86" t="s">
        <v>16</v>
      </c>
      <c r="G77" s="86">
        <v>8035289382</v>
      </c>
      <c r="H77" s="87">
        <v>42729</v>
      </c>
      <c r="I77" s="87"/>
    </row>
    <row r="78" spans="3:9">
      <c r="C78" s="85">
        <v>68</v>
      </c>
      <c r="D78" s="86" t="s">
        <v>1350</v>
      </c>
      <c r="E78" s="86" t="s">
        <v>12</v>
      </c>
      <c r="F78" s="86" t="s">
        <v>21</v>
      </c>
      <c r="G78" s="86"/>
      <c r="H78" s="87">
        <v>42602</v>
      </c>
      <c r="I78" s="87"/>
    </row>
    <row r="79" spans="3:9">
      <c r="C79" s="85">
        <v>69</v>
      </c>
      <c r="D79" s="86" t="s">
        <v>1351</v>
      </c>
      <c r="E79" s="86" t="s">
        <v>9</v>
      </c>
      <c r="F79" s="86" t="s">
        <v>10</v>
      </c>
      <c r="G79" s="86"/>
      <c r="H79" s="87">
        <v>42529</v>
      </c>
      <c r="I79" s="87"/>
    </row>
    <row r="80" spans="3:9" ht="25.5">
      <c r="C80" s="85">
        <v>70</v>
      </c>
      <c r="D80" s="86" t="s">
        <v>1352</v>
      </c>
      <c r="E80" s="86"/>
      <c r="F80" s="86" t="s">
        <v>10</v>
      </c>
      <c r="G80" s="86">
        <v>8030794064</v>
      </c>
      <c r="H80" s="87">
        <v>42379</v>
      </c>
      <c r="I80" s="87"/>
    </row>
    <row r="81" spans="3:9">
      <c r="C81" s="85">
        <v>71</v>
      </c>
      <c r="D81" s="86" t="s">
        <v>1353</v>
      </c>
      <c r="E81" s="86" t="s">
        <v>12</v>
      </c>
      <c r="F81" s="86" t="s">
        <v>43</v>
      </c>
      <c r="G81" s="86">
        <v>8032089201</v>
      </c>
      <c r="H81" s="87">
        <v>42389</v>
      </c>
      <c r="I81" s="87"/>
    </row>
    <row r="82" spans="3:9">
      <c r="C82" s="85">
        <v>72</v>
      </c>
      <c r="D82" s="86" t="s">
        <v>1354</v>
      </c>
      <c r="E82" s="86" t="s">
        <v>9</v>
      </c>
      <c r="F82" s="86" t="s">
        <v>77</v>
      </c>
      <c r="G82" s="86"/>
      <c r="H82" s="87">
        <v>42478</v>
      </c>
      <c r="I82" s="87"/>
    </row>
    <row r="83" spans="3:9">
      <c r="C83" s="85">
        <v>73</v>
      </c>
      <c r="D83" s="86" t="s">
        <v>1355</v>
      </c>
      <c r="E83" s="86" t="s">
        <v>9</v>
      </c>
      <c r="F83" s="86" t="s">
        <v>96</v>
      </c>
      <c r="G83" s="86">
        <v>8035855478</v>
      </c>
      <c r="H83" s="87">
        <v>42675</v>
      </c>
      <c r="I83" s="84"/>
    </row>
    <row r="84" spans="3:9">
      <c r="C84" s="85">
        <v>74</v>
      </c>
      <c r="D84" s="91" t="s">
        <v>1356</v>
      </c>
      <c r="E84" s="91" t="s">
        <v>9</v>
      </c>
      <c r="F84" s="91" t="s">
        <v>33</v>
      </c>
      <c r="G84" s="91">
        <v>8025530746</v>
      </c>
      <c r="H84" s="92"/>
      <c r="I84" s="92"/>
    </row>
    <row r="85" spans="3:9">
      <c r="C85" s="85">
        <v>75</v>
      </c>
      <c r="D85" s="86" t="s">
        <v>1357</v>
      </c>
      <c r="E85" s="86" t="s">
        <v>12</v>
      </c>
      <c r="F85" s="86" t="s">
        <v>38</v>
      </c>
      <c r="G85" s="86"/>
      <c r="H85" s="87">
        <v>42537</v>
      </c>
      <c r="I85" s="87"/>
    </row>
    <row r="86" spans="3:9">
      <c r="C86" s="85">
        <v>76</v>
      </c>
      <c r="D86" s="86" t="s">
        <v>1358</v>
      </c>
      <c r="E86" s="86" t="s">
        <v>12</v>
      </c>
      <c r="F86" s="86" t="s">
        <v>10</v>
      </c>
      <c r="G86" s="86">
        <v>8051110880</v>
      </c>
      <c r="H86" s="87">
        <v>42559</v>
      </c>
      <c r="I86" s="87"/>
    </row>
    <row r="87" spans="3:9">
      <c r="C87" s="85">
        <v>77</v>
      </c>
      <c r="D87" s="86" t="s">
        <v>1359</v>
      </c>
      <c r="E87" s="86" t="s">
        <v>9</v>
      </c>
      <c r="F87" s="86" t="s">
        <v>38</v>
      </c>
      <c r="G87" s="86">
        <v>8062305289</v>
      </c>
      <c r="H87" s="87">
        <v>42401</v>
      </c>
      <c r="I87" s="84"/>
    </row>
    <row r="88" spans="3:9" ht="25.5">
      <c r="C88" s="85">
        <v>78</v>
      </c>
      <c r="D88" s="86" t="s">
        <v>1360</v>
      </c>
      <c r="E88" s="86" t="s">
        <v>9</v>
      </c>
      <c r="F88" s="86" t="s">
        <v>75</v>
      </c>
      <c r="G88" s="86">
        <v>8054153309</v>
      </c>
      <c r="H88" s="87">
        <v>42628</v>
      </c>
      <c r="I88" s="87"/>
    </row>
    <row r="89" spans="3:9">
      <c r="C89" s="85">
        <v>79</v>
      </c>
      <c r="D89" s="91" t="s">
        <v>1361</v>
      </c>
      <c r="E89" s="91" t="s">
        <v>12</v>
      </c>
      <c r="F89" s="91" t="s">
        <v>113</v>
      </c>
      <c r="G89" s="91">
        <v>8052807367</v>
      </c>
      <c r="H89" s="92">
        <v>42720</v>
      </c>
      <c r="I89" s="92"/>
    </row>
    <row r="90" spans="3:9" ht="25.5">
      <c r="C90" s="85">
        <v>80</v>
      </c>
      <c r="D90" s="86" t="s">
        <v>1362</v>
      </c>
      <c r="E90" s="86" t="s">
        <v>12</v>
      </c>
      <c r="F90" s="86" t="s">
        <v>21</v>
      </c>
      <c r="G90" s="86">
        <v>8025617858</v>
      </c>
      <c r="H90" s="87"/>
      <c r="I90" s="87"/>
    </row>
    <row r="91" spans="3:9">
      <c r="C91" s="85">
        <v>81</v>
      </c>
      <c r="D91" s="86" t="s">
        <v>1363</v>
      </c>
      <c r="E91" s="86" t="s">
        <v>12</v>
      </c>
      <c r="F91" s="86" t="s">
        <v>31</v>
      </c>
      <c r="G91" s="86"/>
      <c r="H91" s="87">
        <v>42494</v>
      </c>
      <c r="I91" s="87"/>
    </row>
    <row r="92" spans="3:9">
      <c r="C92" s="85">
        <v>82</v>
      </c>
      <c r="D92" s="86" t="s">
        <v>1364</v>
      </c>
      <c r="E92" s="86" t="s">
        <v>12</v>
      </c>
      <c r="F92" s="86" t="s">
        <v>21</v>
      </c>
      <c r="G92" s="86">
        <v>8034113371</v>
      </c>
      <c r="H92" s="87">
        <v>42719</v>
      </c>
      <c r="I92" s="87"/>
    </row>
    <row r="93" spans="3:9">
      <c r="C93" s="85">
        <v>83</v>
      </c>
      <c r="D93" s="86" t="s">
        <v>1365</v>
      </c>
      <c r="E93" s="86" t="s">
        <v>12</v>
      </c>
      <c r="F93" s="86" t="s">
        <v>16</v>
      </c>
      <c r="G93" s="86">
        <v>8034652714</v>
      </c>
      <c r="H93" s="87">
        <v>42702</v>
      </c>
      <c r="I93" s="87"/>
    </row>
    <row r="94" spans="3:9">
      <c r="C94" s="85">
        <v>84</v>
      </c>
      <c r="D94" s="86" t="s">
        <v>1366</v>
      </c>
      <c r="E94" s="86" t="s">
        <v>12</v>
      </c>
      <c r="F94" s="86" t="s">
        <v>14</v>
      </c>
      <c r="G94" s="86"/>
      <c r="H94" s="87">
        <v>42486</v>
      </c>
      <c r="I94" s="87"/>
    </row>
    <row r="95" spans="3:9" ht="25.5">
      <c r="C95" s="85">
        <v>85</v>
      </c>
      <c r="D95" s="86" t="s">
        <v>1367</v>
      </c>
      <c r="E95" s="86" t="s">
        <v>12</v>
      </c>
      <c r="F95" s="86" t="s">
        <v>1368</v>
      </c>
      <c r="G95" s="86">
        <v>8038458235</v>
      </c>
      <c r="H95" s="87">
        <v>42439</v>
      </c>
      <c r="I95" s="84"/>
    </row>
    <row r="96" spans="3:9">
      <c r="C96" s="85">
        <v>86</v>
      </c>
      <c r="D96" s="86" t="s">
        <v>1369</v>
      </c>
      <c r="E96" s="86" t="s">
        <v>9</v>
      </c>
      <c r="F96" s="86" t="s">
        <v>144</v>
      </c>
      <c r="G96" s="86"/>
      <c r="H96" s="87">
        <v>42725</v>
      </c>
      <c r="I96" s="87"/>
    </row>
    <row r="97" spans="3:9">
      <c r="C97" s="85">
        <v>87</v>
      </c>
      <c r="D97" s="86" t="s">
        <v>1370</v>
      </c>
      <c r="E97" s="86" t="s">
        <v>12</v>
      </c>
      <c r="F97" s="86" t="s">
        <v>25</v>
      </c>
      <c r="G97" s="86">
        <v>8034121921</v>
      </c>
      <c r="H97" s="87">
        <v>42572</v>
      </c>
      <c r="I97" s="87"/>
    </row>
    <row r="98" spans="3:9">
      <c r="C98" s="85">
        <v>88</v>
      </c>
      <c r="D98" s="86" t="s">
        <v>1371</v>
      </c>
      <c r="E98" s="86" t="s">
        <v>12</v>
      </c>
      <c r="F98" s="86" t="s">
        <v>113</v>
      </c>
      <c r="G98" s="86">
        <v>8027284078</v>
      </c>
      <c r="H98" s="87">
        <v>42729</v>
      </c>
      <c r="I98" s="87"/>
    </row>
    <row r="99" spans="3:9">
      <c r="C99" s="85">
        <v>89</v>
      </c>
      <c r="D99" s="86" t="s">
        <v>1372</v>
      </c>
      <c r="E99" s="86" t="s">
        <v>9</v>
      </c>
      <c r="F99" s="86" t="s">
        <v>218</v>
      </c>
      <c r="G99" s="86"/>
      <c r="H99" s="87"/>
      <c r="I99" s="87"/>
    </row>
    <row r="100" spans="3:9">
      <c r="C100" s="85">
        <v>90</v>
      </c>
      <c r="D100" s="86" t="s">
        <v>1373</v>
      </c>
      <c r="E100" s="86" t="s">
        <v>9</v>
      </c>
      <c r="F100" s="86" t="s">
        <v>1374</v>
      </c>
      <c r="G100" s="86">
        <v>8028966406</v>
      </c>
      <c r="H100" s="87">
        <v>42468</v>
      </c>
      <c r="I100" s="87"/>
    </row>
    <row r="101" spans="3:9">
      <c r="C101" s="85">
        <v>91</v>
      </c>
      <c r="D101" s="91" t="s">
        <v>1375</v>
      </c>
      <c r="E101" s="91" t="s">
        <v>12</v>
      </c>
      <c r="F101" s="91" t="s">
        <v>75</v>
      </c>
      <c r="G101" s="91">
        <v>8038575181</v>
      </c>
      <c r="H101" s="92">
        <v>42546</v>
      </c>
      <c r="I101" s="92"/>
    </row>
    <row r="102" spans="3:9">
      <c r="C102" s="85">
        <v>92</v>
      </c>
      <c r="D102" s="86" t="s">
        <v>1376</v>
      </c>
      <c r="E102" s="86" t="s">
        <v>12</v>
      </c>
      <c r="F102" s="86"/>
      <c r="G102" s="86"/>
      <c r="H102" s="87"/>
      <c r="I102" s="87"/>
    </row>
    <row r="103" spans="3:9">
      <c r="C103" s="85">
        <v>93</v>
      </c>
      <c r="D103" s="86" t="s">
        <v>1377</v>
      </c>
      <c r="E103" s="86" t="s">
        <v>12</v>
      </c>
      <c r="F103" s="86"/>
      <c r="G103" s="86">
        <v>8033175715</v>
      </c>
      <c r="H103" s="87">
        <v>42465</v>
      </c>
      <c r="I103" s="87"/>
    </row>
    <row r="104" spans="3:9" ht="25.5">
      <c r="C104" s="85">
        <v>94</v>
      </c>
      <c r="D104" s="86" t="s">
        <v>1378</v>
      </c>
      <c r="E104" s="86" t="s">
        <v>12</v>
      </c>
      <c r="F104" s="86" t="s">
        <v>38</v>
      </c>
      <c r="G104" s="86">
        <v>8062709040</v>
      </c>
      <c r="H104" s="87">
        <v>42700</v>
      </c>
      <c r="I104" s="87"/>
    </row>
    <row r="105" spans="3:9">
      <c r="C105" s="85">
        <v>95</v>
      </c>
      <c r="D105" s="86" t="s">
        <v>1379</v>
      </c>
      <c r="E105" s="86" t="s">
        <v>12</v>
      </c>
      <c r="F105" s="86" t="s">
        <v>49</v>
      </c>
      <c r="G105" s="86"/>
      <c r="H105" s="87">
        <v>42478</v>
      </c>
      <c r="I105" s="84"/>
    </row>
    <row r="106" spans="3:9">
      <c r="C106" s="85">
        <v>96</v>
      </c>
      <c r="D106" s="86" t="s">
        <v>1380</v>
      </c>
      <c r="E106" s="86" t="s">
        <v>12</v>
      </c>
      <c r="F106" s="86" t="s">
        <v>99</v>
      </c>
      <c r="G106" s="86">
        <v>8053363076</v>
      </c>
      <c r="H106" s="87">
        <v>42494</v>
      </c>
      <c r="I106" s="87"/>
    </row>
    <row r="107" spans="3:9">
      <c r="C107" s="85">
        <v>97</v>
      </c>
      <c r="D107" s="86" t="s">
        <v>1381</v>
      </c>
      <c r="E107" s="86" t="s">
        <v>9</v>
      </c>
      <c r="F107" s="86" t="s">
        <v>64</v>
      </c>
      <c r="G107" s="86"/>
      <c r="H107" s="87">
        <v>42382</v>
      </c>
      <c r="I107" s="87"/>
    </row>
    <row r="108" spans="3:9" ht="25.5">
      <c r="C108" s="85">
        <v>98</v>
      </c>
      <c r="D108" s="86" t="s">
        <v>1382</v>
      </c>
      <c r="E108" s="86" t="s">
        <v>12</v>
      </c>
      <c r="F108" s="86" t="s">
        <v>62</v>
      </c>
      <c r="G108" s="86">
        <v>8022011225</v>
      </c>
      <c r="H108" s="87">
        <v>42443</v>
      </c>
      <c r="I108" s="87"/>
    </row>
    <row r="109" spans="3:9">
      <c r="C109" s="85">
        <v>99</v>
      </c>
      <c r="D109" s="86" t="s">
        <v>1383</v>
      </c>
      <c r="E109" s="86" t="s">
        <v>9</v>
      </c>
      <c r="F109" s="86" t="s">
        <v>38</v>
      </c>
      <c r="G109" s="86"/>
      <c r="H109" s="87">
        <v>42716</v>
      </c>
      <c r="I109" s="87"/>
    </row>
    <row r="110" spans="3:9" ht="25.5">
      <c r="C110" s="85">
        <v>100</v>
      </c>
      <c r="D110" s="86" t="s">
        <v>1384</v>
      </c>
      <c r="E110" s="86" t="s">
        <v>9</v>
      </c>
      <c r="F110" s="86" t="s">
        <v>10</v>
      </c>
      <c r="G110" s="86">
        <v>8029541082</v>
      </c>
      <c r="H110" s="87">
        <v>42439</v>
      </c>
      <c r="I110" s="87"/>
    </row>
    <row r="111" spans="3:9">
      <c r="C111" s="85">
        <v>101</v>
      </c>
      <c r="D111" s="86" t="s">
        <v>1385</v>
      </c>
      <c r="E111" s="86" t="s">
        <v>9</v>
      </c>
      <c r="F111" s="86" t="s">
        <v>317</v>
      </c>
      <c r="G111" s="86">
        <v>8035781878</v>
      </c>
      <c r="H111" s="87">
        <v>42545</v>
      </c>
      <c r="I111" s="87"/>
    </row>
    <row r="112" spans="3:9">
      <c r="C112" s="85">
        <v>102</v>
      </c>
      <c r="D112" s="86" t="s">
        <v>1386</v>
      </c>
      <c r="E112" s="86" t="s">
        <v>9</v>
      </c>
      <c r="F112" s="86" t="s">
        <v>1374</v>
      </c>
      <c r="G112" s="86"/>
      <c r="H112" s="87">
        <v>42474</v>
      </c>
      <c r="I112" s="87"/>
    </row>
    <row r="113" spans="3:9">
      <c r="C113" s="85">
        <v>103</v>
      </c>
      <c r="D113" s="86" t="s">
        <v>1387</v>
      </c>
      <c r="E113" s="86" t="s">
        <v>9</v>
      </c>
      <c r="F113" s="86" t="s">
        <v>16</v>
      </c>
      <c r="G113" s="86"/>
      <c r="H113" s="87">
        <v>42451</v>
      </c>
      <c r="I113" s="87"/>
    </row>
    <row r="114" spans="3:9">
      <c r="C114" s="85">
        <v>104</v>
      </c>
      <c r="D114" s="86" t="s">
        <v>1388</v>
      </c>
      <c r="E114" s="86" t="s">
        <v>9</v>
      </c>
      <c r="F114" s="86" t="s">
        <v>1290</v>
      </c>
      <c r="G114" s="86">
        <v>8044181347</v>
      </c>
      <c r="H114" s="87">
        <v>42678</v>
      </c>
      <c r="I114" s="87"/>
    </row>
    <row r="115" spans="3:9">
      <c r="C115" s="85">
        <v>105</v>
      </c>
      <c r="D115" s="86" t="s">
        <v>1389</v>
      </c>
      <c r="E115" s="86" t="s">
        <v>12</v>
      </c>
      <c r="F115" s="86" t="s">
        <v>19</v>
      </c>
      <c r="G115" s="86"/>
      <c r="H115" s="87">
        <v>42443</v>
      </c>
      <c r="I115" s="87"/>
    </row>
    <row r="116" spans="3:9">
      <c r="C116" s="85">
        <v>106</v>
      </c>
      <c r="D116" s="86" t="s">
        <v>1390</v>
      </c>
      <c r="E116" s="86" t="s">
        <v>12</v>
      </c>
      <c r="F116" s="86" t="s">
        <v>144</v>
      </c>
      <c r="G116" s="86"/>
      <c r="H116" s="87"/>
      <c r="I116" s="87"/>
    </row>
    <row r="117" spans="3:9">
      <c r="C117" s="85">
        <v>107</v>
      </c>
      <c r="D117" s="86" t="s">
        <v>1391</v>
      </c>
      <c r="E117" s="86" t="s">
        <v>12</v>
      </c>
      <c r="F117" s="86" t="s">
        <v>75</v>
      </c>
      <c r="G117" s="86">
        <v>8056376405</v>
      </c>
      <c r="H117" s="87">
        <v>42729</v>
      </c>
      <c r="I117" s="87"/>
    </row>
    <row r="118" spans="3:9">
      <c r="C118" s="85">
        <v>108</v>
      </c>
      <c r="D118" s="86" t="s">
        <v>1392</v>
      </c>
      <c r="E118" s="86" t="s">
        <v>9</v>
      </c>
      <c r="F118" s="86" t="s">
        <v>49</v>
      </c>
      <c r="G118" s="86">
        <v>8034829019</v>
      </c>
      <c r="H118" s="87">
        <v>42478</v>
      </c>
      <c r="I118" s="87"/>
    </row>
    <row r="119" spans="3:9">
      <c r="C119" s="85">
        <v>109</v>
      </c>
      <c r="D119" s="86" t="s">
        <v>1393</v>
      </c>
      <c r="E119" s="86" t="s">
        <v>12</v>
      </c>
      <c r="F119" s="86" t="s">
        <v>99</v>
      </c>
      <c r="G119" s="86"/>
      <c r="H119" s="87">
        <v>42464</v>
      </c>
      <c r="I119" s="87"/>
    </row>
    <row r="120" spans="3:9">
      <c r="C120" s="85">
        <v>110</v>
      </c>
      <c r="D120" s="86" t="s">
        <v>1394</v>
      </c>
      <c r="E120" s="86" t="s">
        <v>12</v>
      </c>
      <c r="F120" s="86" t="s">
        <v>27</v>
      </c>
      <c r="G120" s="86">
        <v>8033650209</v>
      </c>
      <c r="H120" s="87">
        <v>42405</v>
      </c>
      <c r="I120" s="87"/>
    </row>
    <row r="121" spans="3:9">
      <c r="C121" s="85">
        <v>111</v>
      </c>
      <c r="D121" s="86" t="s">
        <v>1395</v>
      </c>
      <c r="E121" s="86" t="s">
        <v>12</v>
      </c>
      <c r="F121" s="86" t="s">
        <v>14</v>
      </c>
      <c r="G121" s="86"/>
      <c r="H121" s="87"/>
      <c r="I121" s="87"/>
    </row>
    <row r="122" spans="3:9">
      <c r="C122" s="85">
        <v>112</v>
      </c>
      <c r="D122" s="86" t="s">
        <v>1396</v>
      </c>
      <c r="E122" s="86" t="s">
        <v>12</v>
      </c>
      <c r="F122" s="86" t="s">
        <v>144</v>
      </c>
      <c r="G122" s="86">
        <v>8038617648</v>
      </c>
      <c r="H122" s="87">
        <v>42719</v>
      </c>
      <c r="I122" s="87"/>
    </row>
    <row r="123" spans="3:9">
      <c r="C123" s="85">
        <v>113</v>
      </c>
      <c r="D123" s="86" t="s">
        <v>1397</v>
      </c>
      <c r="E123" s="86" t="s">
        <v>12</v>
      </c>
      <c r="F123" s="86" t="s">
        <v>1374</v>
      </c>
      <c r="G123" s="86"/>
      <c r="H123" s="87">
        <v>42642</v>
      </c>
      <c r="I123" s="87"/>
    </row>
    <row r="124" spans="3:9" ht="25.5">
      <c r="C124" s="85">
        <v>114</v>
      </c>
      <c r="D124" s="86" t="s">
        <v>1398</v>
      </c>
      <c r="E124" s="86" t="s">
        <v>12</v>
      </c>
      <c r="F124" s="86" t="s">
        <v>1368</v>
      </c>
      <c r="G124" s="86"/>
      <c r="H124" s="87">
        <v>42537</v>
      </c>
      <c r="I124" s="87"/>
    </row>
    <row r="125" spans="3:9">
      <c r="C125" s="85">
        <v>115</v>
      </c>
      <c r="D125" s="86" t="s">
        <v>1399</v>
      </c>
      <c r="E125" s="86" t="s">
        <v>12</v>
      </c>
      <c r="F125" s="86" t="s">
        <v>96</v>
      </c>
      <c r="G125" s="86"/>
      <c r="H125" s="87">
        <v>42491</v>
      </c>
      <c r="I125" s="87"/>
    </row>
    <row r="126" spans="3:9">
      <c r="C126" s="85">
        <v>116</v>
      </c>
      <c r="D126" s="86" t="s">
        <v>1400</v>
      </c>
      <c r="E126" s="86" t="s">
        <v>12</v>
      </c>
      <c r="F126" s="86" t="s">
        <v>118</v>
      </c>
      <c r="G126" s="86"/>
      <c r="H126" s="87">
        <v>42514</v>
      </c>
      <c r="I126" s="87"/>
    </row>
    <row r="127" spans="3:9">
      <c r="C127" s="85">
        <v>117</v>
      </c>
      <c r="D127" s="86" t="s">
        <v>1401</v>
      </c>
      <c r="E127" s="86" t="s">
        <v>9</v>
      </c>
      <c r="F127" s="86" t="s">
        <v>144</v>
      </c>
      <c r="G127" s="86">
        <v>8060914303</v>
      </c>
      <c r="H127" s="87">
        <v>42633</v>
      </c>
      <c r="I127" s="87"/>
    </row>
    <row r="128" spans="3:9">
      <c r="C128" s="85">
        <v>118</v>
      </c>
      <c r="D128" s="86" t="s">
        <v>1402</v>
      </c>
      <c r="E128" s="86" t="s">
        <v>12</v>
      </c>
      <c r="F128" s="86" t="s">
        <v>16</v>
      </c>
      <c r="G128" s="86"/>
      <c r="H128" s="87">
        <v>42570</v>
      </c>
      <c r="I128" s="87"/>
    </row>
    <row r="129" spans="3:9">
      <c r="C129" s="85">
        <v>119</v>
      </c>
      <c r="D129" s="86" t="s">
        <v>1403</v>
      </c>
      <c r="E129" s="86" t="s">
        <v>12</v>
      </c>
      <c r="F129" s="86" t="s">
        <v>99</v>
      </c>
      <c r="G129" s="86">
        <v>8034274054</v>
      </c>
      <c r="H129" s="87">
        <v>42673</v>
      </c>
      <c r="I129" s="87"/>
    </row>
    <row r="130" spans="3:9">
      <c r="C130" s="85">
        <v>120</v>
      </c>
      <c r="D130" s="86" t="s">
        <v>1404</v>
      </c>
      <c r="E130" s="86" t="s">
        <v>9</v>
      </c>
      <c r="F130" s="86" t="s">
        <v>45</v>
      </c>
      <c r="G130" s="86">
        <v>8036800670</v>
      </c>
      <c r="H130" s="87">
        <v>42382</v>
      </c>
      <c r="I130" s="87"/>
    </row>
    <row r="131" spans="3:9" ht="25.5">
      <c r="C131" s="85">
        <v>121</v>
      </c>
      <c r="D131" s="86" t="s">
        <v>1405</v>
      </c>
      <c r="E131" s="86" t="s">
        <v>12</v>
      </c>
      <c r="F131" s="86" t="s">
        <v>14</v>
      </c>
      <c r="G131" s="86">
        <v>8026313152</v>
      </c>
      <c r="H131" s="87"/>
      <c r="I131" s="87"/>
    </row>
    <row r="132" spans="3:9">
      <c r="C132" s="85">
        <v>122</v>
      </c>
      <c r="D132" s="86" t="s">
        <v>1406</v>
      </c>
      <c r="E132" s="86" t="s">
        <v>9</v>
      </c>
      <c r="F132" s="86" t="s">
        <v>71</v>
      </c>
      <c r="G132" s="86"/>
      <c r="H132" s="87">
        <v>42416</v>
      </c>
      <c r="I132" s="87"/>
    </row>
    <row r="133" spans="3:9">
      <c r="C133" s="85">
        <v>123</v>
      </c>
      <c r="D133" s="86" t="s">
        <v>1407</v>
      </c>
      <c r="E133" s="86" t="s">
        <v>12</v>
      </c>
      <c r="F133" s="86" t="s">
        <v>19</v>
      </c>
      <c r="G133" s="86">
        <v>8034288578</v>
      </c>
      <c r="H133" s="87">
        <v>42497</v>
      </c>
      <c r="I133" s="87"/>
    </row>
    <row r="134" spans="3:9">
      <c r="C134" s="85">
        <v>124</v>
      </c>
      <c r="D134" s="86" t="s">
        <v>1408</v>
      </c>
      <c r="E134" s="86" t="s">
        <v>9</v>
      </c>
      <c r="F134" s="86" t="s">
        <v>16</v>
      </c>
      <c r="G134" s="86">
        <v>8028991606</v>
      </c>
      <c r="H134" s="87">
        <v>42570</v>
      </c>
      <c r="I134" s="87"/>
    </row>
    <row r="135" spans="3:9">
      <c r="C135" s="85">
        <v>125</v>
      </c>
      <c r="D135" s="86" t="s">
        <v>1409</v>
      </c>
      <c r="E135" s="86" t="s">
        <v>12</v>
      </c>
      <c r="F135" s="86" t="s">
        <v>25</v>
      </c>
      <c r="G135" s="86">
        <v>8022506153</v>
      </c>
      <c r="H135" s="87">
        <v>42653</v>
      </c>
      <c r="I135" s="87"/>
    </row>
    <row r="136" spans="3:9">
      <c r="C136" s="85">
        <v>126</v>
      </c>
      <c r="D136" s="86" t="s">
        <v>1410</v>
      </c>
      <c r="E136" s="86" t="s">
        <v>12</v>
      </c>
      <c r="F136" s="86" t="s">
        <v>113</v>
      </c>
      <c r="G136" s="86">
        <v>8028613325</v>
      </c>
      <c r="H136" s="87">
        <v>42388</v>
      </c>
      <c r="I136" s="87"/>
    </row>
    <row r="137" spans="3:9" ht="25.5">
      <c r="C137" s="85">
        <v>127</v>
      </c>
      <c r="D137" s="86" t="s">
        <v>1411</v>
      </c>
      <c r="E137" s="86"/>
      <c r="F137" s="86" t="s">
        <v>29</v>
      </c>
      <c r="G137" s="86">
        <v>8035614378</v>
      </c>
      <c r="H137" s="87">
        <v>42664</v>
      </c>
      <c r="I137" s="87"/>
    </row>
    <row r="138" spans="3:9">
      <c r="C138" s="85">
        <v>128</v>
      </c>
      <c r="D138" s="86" t="s">
        <v>1412</v>
      </c>
      <c r="E138" s="86" t="s">
        <v>9</v>
      </c>
      <c r="F138" s="86" t="s">
        <v>16</v>
      </c>
      <c r="G138" s="86"/>
      <c r="H138" s="87">
        <v>42448</v>
      </c>
      <c r="I138" s="87"/>
    </row>
    <row r="139" spans="3:9" ht="25.5">
      <c r="C139" s="85">
        <v>129</v>
      </c>
      <c r="D139" s="86" t="s">
        <v>1413</v>
      </c>
      <c r="E139" s="86" t="s">
        <v>9</v>
      </c>
      <c r="F139" s="86" t="s">
        <v>10</v>
      </c>
      <c r="G139" s="86">
        <v>8052370892</v>
      </c>
      <c r="H139" s="87">
        <v>42401</v>
      </c>
      <c r="I139" s="87"/>
    </row>
    <row r="140" spans="3:9">
      <c r="C140" s="85">
        <v>130</v>
      </c>
      <c r="D140" s="86" t="s">
        <v>1414</v>
      </c>
      <c r="E140" s="86" t="s">
        <v>12</v>
      </c>
      <c r="F140" s="86" t="s">
        <v>118</v>
      </c>
      <c r="G140" s="86"/>
      <c r="H140" s="87">
        <v>42407</v>
      </c>
      <c r="I140" s="87"/>
    </row>
    <row r="141" spans="3:9">
      <c r="C141" s="85">
        <v>131</v>
      </c>
      <c r="D141" s="86" t="s">
        <v>1415</v>
      </c>
      <c r="E141" s="86" t="s">
        <v>12</v>
      </c>
      <c r="F141" s="86" t="s">
        <v>10</v>
      </c>
      <c r="G141" s="86">
        <v>8028979524</v>
      </c>
      <c r="H141" s="87">
        <v>42543</v>
      </c>
      <c r="I141" s="87"/>
    </row>
    <row r="142" spans="3:9">
      <c r="C142" s="85">
        <v>132</v>
      </c>
      <c r="D142" s="86" t="s">
        <v>1416</v>
      </c>
      <c r="E142" s="86" t="s">
        <v>12</v>
      </c>
      <c r="F142" s="86" t="s">
        <v>118</v>
      </c>
      <c r="G142" s="86">
        <v>8034136496</v>
      </c>
      <c r="H142" s="87"/>
      <c r="I142" s="87"/>
    </row>
    <row r="143" spans="3:9">
      <c r="C143" s="85">
        <v>133</v>
      </c>
      <c r="D143" s="86" t="s">
        <v>1417</v>
      </c>
      <c r="E143" s="86" t="s">
        <v>12</v>
      </c>
      <c r="F143" s="86"/>
      <c r="G143" s="86">
        <v>8029407720</v>
      </c>
      <c r="H143" s="87"/>
      <c r="I143" s="87"/>
    </row>
    <row r="144" spans="3:9">
      <c r="C144" s="85">
        <v>134</v>
      </c>
      <c r="D144" s="86" t="s">
        <v>1418</v>
      </c>
      <c r="E144" s="86" t="s">
        <v>12</v>
      </c>
      <c r="F144" s="86" t="s">
        <v>45</v>
      </c>
      <c r="G144" s="86">
        <v>8038353771</v>
      </c>
      <c r="H144" s="87">
        <v>42428</v>
      </c>
      <c r="I144" s="87"/>
    </row>
    <row r="145" spans="3:9">
      <c r="C145" s="85">
        <v>135</v>
      </c>
      <c r="D145" s="86" t="s">
        <v>1419</v>
      </c>
      <c r="E145" s="86" t="s">
        <v>12</v>
      </c>
      <c r="F145" s="86" t="s">
        <v>113</v>
      </c>
      <c r="G145" s="86"/>
      <c r="H145" s="87"/>
      <c r="I145" s="87"/>
    </row>
    <row r="146" spans="3:9">
      <c r="C146" s="85">
        <v>136</v>
      </c>
      <c r="D146" s="86" t="s">
        <v>1420</v>
      </c>
      <c r="E146" s="86" t="s">
        <v>12</v>
      </c>
      <c r="F146" s="86" t="s">
        <v>10</v>
      </c>
      <c r="G146" s="86"/>
      <c r="H146" s="87">
        <v>42578</v>
      </c>
      <c r="I146" s="87"/>
    </row>
    <row r="147" spans="3:9">
      <c r="C147" s="85">
        <v>137</v>
      </c>
      <c r="D147" s="86" t="s">
        <v>1421</v>
      </c>
      <c r="E147" s="86" t="s">
        <v>12</v>
      </c>
      <c r="F147" s="86" t="s">
        <v>31</v>
      </c>
      <c r="G147" s="86"/>
      <c r="H147" s="87">
        <v>42580</v>
      </c>
      <c r="I147" s="87"/>
    </row>
    <row r="148" spans="3:9">
      <c r="C148" s="85"/>
      <c r="D148" s="86"/>
      <c r="E148" s="86"/>
      <c r="F148" s="86"/>
      <c r="G148" s="86"/>
      <c r="H148" s="87"/>
      <c r="I148" s="8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C2:I83"/>
  <sheetViews>
    <sheetView workbookViewId="0">
      <selection activeCell="G11" sqref="G11:G78"/>
    </sheetView>
  </sheetViews>
  <sheetFormatPr defaultColWidth="9" defaultRowHeight="15"/>
  <cols>
    <col min="1" max="2" width="8.5703125" customWidth="1"/>
    <col min="3" max="3" width="5" customWidth="1"/>
    <col min="4" max="4" width="30.140625" style="191" customWidth="1"/>
    <col min="5" max="5" width="5.140625" customWidth="1"/>
    <col min="6" max="6" width="8.5703125" customWidth="1"/>
    <col min="7" max="7" width="16.5703125" customWidth="1"/>
    <col min="8" max="8" width="12.7109375" style="191" customWidth="1"/>
    <col min="9" max="9" width="23.42578125" style="191" customWidth="1"/>
    <col min="10" max="256" width="8.5703125" customWidth="1"/>
  </cols>
  <sheetData>
    <row r="2" spans="3:9" ht="15.75">
      <c r="E2" s="42"/>
      <c r="F2" s="43"/>
      <c r="H2" s="192" t="s">
        <v>0</v>
      </c>
      <c r="I2" s="193"/>
    </row>
    <row r="3" spans="3:9" ht="15.75">
      <c r="E3" s="42"/>
      <c r="F3" s="43"/>
      <c r="H3" s="192" t="s">
        <v>1</v>
      </c>
      <c r="I3" s="193"/>
    </row>
    <row r="4" spans="3:9" ht="15.75">
      <c r="E4" s="42"/>
      <c r="F4" s="45"/>
      <c r="H4" s="194" t="s">
        <v>2</v>
      </c>
      <c r="I4" s="193"/>
    </row>
    <row r="5" spans="3:9" ht="15.75">
      <c r="D5" s="193"/>
      <c r="E5" s="45"/>
      <c r="G5" s="46"/>
      <c r="H5" s="193"/>
    </row>
    <row r="6" spans="3:9">
      <c r="D6" s="195" t="s">
        <v>1266</v>
      </c>
      <c r="E6" s="61"/>
      <c r="F6" s="61"/>
      <c r="G6" s="61"/>
    </row>
    <row r="7" spans="3:9" ht="15.75">
      <c r="D7" s="196" t="s">
        <v>1715</v>
      </c>
      <c r="E7" s="61"/>
      <c r="F7" s="61"/>
      <c r="G7" s="61"/>
    </row>
    <row r="10" spans="3:9">
      <c r="C10" s="111" t="s">
        <v>3</v>
      </c>
      <c r="D10" s="197" t="s">
        <v>4</v>
      </c>
      <c r="E10" s="111" t="s">
        <v>6</v>
      </c>
      <c r="F10" s="111" t="s">
        <v>7</v>
      </c>
      <c r="G10" s="111" t="s">
        <v>306</v>
      </c>
      <c r="H10" s="197" t="s">
        <v>305</v>
      </c>
      <c r="I10" s="197" t="s">
        <v>545</v>
      </c>
    </row>
    <row r="11" spans="3:9">
      <c r="C11" s="111">
        <v>1</v>
      </c>
      <c r="D11" s="197" t="s">
        <v>1814</v>
      </c>
      <c r="E11" s="111" t="s">
        <v>12</v>
      </c>
      <c r="F11" s="111" t="s">
        <v>99</v>
      </c>
      <c r="G11" s="111">
        <v>8054041088</v>
      </c>
      <c r="H11" s="197" t="s">
        <v>1815</v>
      </c>
      <c r="I11" s="197"/>
    </row>
    <row r="12" spans="3:9">
      <c r="C12" s="111">
        <v>2</v>
      </c>
      <c r="D12" s="197" t="s">
        <v>1816</v>
      </c>
      <c r="E12" s="111" t="s">
        <v>12</v>
      </c>
      <c r="F12" s="111" t="s">
        <v>99</v>
      </c>
      <c r="G12" s="111">
        <v>8035678768</v>
      </c>
      <c r="H12" s="197" t="s">
        <v>1817</v>
      </c>
      <c r="I12" s="197"/>
    </row>
    <row r="13" spans="3:9">
      <c r="C13" s="111">
        <v>3</v>
      </c>
      <c r="D13" s="197" t="s">
        <v>1818</v>
      </c>
      <c r="E13" s="111" t="s">
        <v>12</v>
      </c>
      <c r="F13" s="111" t="s">
        <v>45</v>
      </c>
      <c r="G13" s="111">
        <v>8029442293</v>
      </c>
      <c r="H13" s="197" t="s">
        <v>1819</v>
      </c>
      <c r="I13" s="197"/>
    </row>
    <row r="14" spans="3:9">
      <c r="C14" s="111">
        <v>4</v>
      </c>
      <c r="D14" s="197" t="s">
        <v>1820</v>
      </c>
      <c r="E14" s="111" t="s">
        <v>12</v>
      </c>
      <c r="F14" s="111" t="s">
        <v>45</v>
      </c>
      <c r="G14" s="111">
        <v>8035369018</v>
      </c>
      <c r="H14" s="197" t="s">
        <v>1821</v>
      </c>
      <c r="I14" s="197"/>
    </row>
    <row r="15" spans="3:9">
      <c r="C15" s="111">
        <v>5</v>
      </c>
      <c r="D15" s="197" t="s">
        <v>1822</v>
      </c>
      <c r="E15" s="111" t="s">
        <v>12</v>
      </c>
      <c r="F15" s="111" t="s">
        <v>31</v>
      </c>
      <c r="G15" s="111"/>
      <c r="H15" s="197" t="s">
        <v>1823</v>
      </c>
      <c r="I15" s="197"/>
    </row>
    <row r="16" spans="3:9">
      <c r="C16" s="111">
        <v>6</v>
      </c>
      <c r="D16" s="197" t="s">
        <v>1824</v>
      </c>
      <c r="E16" s="111" t="s">
        <v>12</v>
      </c>
      <c r="F16" s="111" t="s">
        <v>31</v>
      </c>
      <c r="G16" s="111"/>
      <c r="H16" s="197" t="s">
        <v>1825</v>
      </c>
      <c r="I16" s="197"/>
    </row>
    <row r="17" spans="3:9">
      <c r="C17" s="111">
        <v>7</v>
      </c>
      <c r="D17" s="197" t="s">
        <v>1826</v>
      </c>
      <c r="E17" s="111" t="s">
        <v>12</v>
      </c>
      <c r="F17" s="111" t="s">
        <v>31</v>
      </c>
      <c r="G17" s="111">
        <v>8034397417</v>
      </c>
      <c r="H17" s="197" t="s">
        <v>1827</v>
      </c>
      <c r="I17" s="197"/>
    </row>
    <row r="18" spans="3:9">
      <c r="C18" s="111">
        <v>8</v>
      </c>
      <c r="D18" s="197" t="s">
        <v>1828</v>
      </c>
      <c r="E18" s="111" t="s">
        <v>12</v>
      </c>
      <c r="F18" s="111" t="s">
        <v>14</v>
      </c>
      <c r="G18" s="111"/>
      <c r="H18" s="197" t="s">
        <v>1829</v>
      </c>
      <c r="I18" s="197"/>
    </row>
    <row r="19" spans="3:9">
      <c r="C19" s="111">
        <v>9</v>
      </c>
      <c r="D19" s="197" t="s">
        <v>1830</v>
      </c>
      <c r="E19" s="111" t="s">
        <v>12</v>
      </c>
      <c r="F19" s="111" t="s">
        <v>14</v>
      </c>
      <c r="G19" s="111">
        <v>8035175590</v>
      </c>
      <c r="H19" s="197" t="s">
        <v>1821</v>
      </c>
      <c r="I19" s="197"/>
    </row>
    <row r="20" spans="3:9">
      <c r="C20" s="111">
        <v>10</v>
      </c>
      <c r="D20" s="197" t="s">
        <v>1831</v>
      </c>
      <c r="E20" s="111" t="s">
        <v>12</v>
      </c>
      <c r="F20" s="111" t="s">
        <v>14</v>
      </c>
      <c r="G20" s="111">
        <v>8038349738</v>
      </c>
      <c r="H20" s="197" t="s">
        <v>1832</v>
      </c>
      <c r="I20" s="197"/>
    </row>
    <row r="21" spans="3:9">
      <c r="C21" s="111">
        <v>11</v>
      </c>
      <c r="D21" s="197" t="s">
        <v>1833</v>
      </c>
      <c r="E21" s="111" t="s">
        <v>12</v>
      </c>
      <c r="F21" s="111" t="s">
        <v>75</v>
      </c>
      <c r="G21" s="111">
        <v>8037186170</v>
      </c>
      <c r="H21" s="197" t="s">
        <v>1834</v>
      </c>
      <c r="I21" s="197"/>
    </row>
    <row r="22" spans="3:9">
      <c r="C22" s="111">
        <v>12</v>
      </c>
      <c r="D22" s="197" t="s">
        <v>1835</v>
      </c>
      <c r="E22" s="111" t="s">
        <v>12</v>
      </c>
      <c r="F22" s="111" t="s">
        <v>75</v>
      </c>
      <c r="G22" s="111"/>
      <c r="H22" s="197" t="s">
        <v>1836</v>
      </c>
      <c r="I22" s="197"/>
    </row>
    <row r="23" spans="3:9">
      <c r="C23" s="111">
        <v>13</v>
      </c>
      <c r="D23" s="197" t="s">
        <v>1837</v>
      </c>
      <c r="E23" s="111" t="s">
        <v>9</v>
      </c>
      <c r="F23" s="111" t="s">
        <v>10</v>
      </c>
      <c r="G23" s="111"/>
      <c r="H23" s="197" t="s">
        <v>1838</v>
      </c>
      <c r="I23" s="197"/>
    </row>
    <row r="24" spans="3:9">
      <c r="C24" s="111">
        <v>14</v>
      </c>
      <c r="D24" s="197" t="s">
        <v>1839</v>
      </c>
      <c r="E24" s="111" t="s">
        <v>12</v>
      </c>
      <c r="F24" s="111" t="s">
        <v>10</v>
      </c>
      <c r="G24" s="111"/>
      <c r="H24" s="197" t="s">
        <v>1840</v>
      </c>
      <c r="I24" s="197"/>
    </row>
    <row r="25" spans="3:9">
      <c r="C25" s="111">
        <v>15</v>
      </c>
      <c r="D25" s="197" t="s">
        <v>1841</v>
      </c>
      <c r="E25" s="111" t="s">
        <v>9</v>
      </c>
      <c r="F25" s="111" t="s">
        <v>10</v>
      </c>
      <c r="G25" s="111"/>
      <c r="H25" s="197" t="s">
        <v>1842</v>
      </c>
      <c r="I25" s="197"/>
    </row>
    <row r="26" spans="3:9">
      <c r="C26" s="111">
        <v>16</v>
      </c>
      <c r="D26" s="197" t="s">
        <v>1843</v>
      </c>
      <c r="E26" s="111" t="s">
        <v>12</v>
      </c>
      <c r="F26" s="111" t="s">
        <v>29</v>
      </c>
      <c r="G26" s="111"/>
      <c r="H26" s="197" t="s">
        <v>1844</v>
      </c>
      <c r="I26" s="197"/>
    </row>
    <row r="27" spans="3:9">
      <c r="C27" s="111">
        <v>17</v>
      </c>
      <c r="D27" s="197" t="s">
        <v>1845</v>
      </c>
      <c r="E27" s="111" t="s">
        <v>9</v>
      </c>
      <c r="F27" s="111" t="s">
        <v>27</v>
      </c>
      <c r="G27" s="111"/>
      <c r="H27" s="197" t="s">
        <v>1846</v>
      </c>
      <c r="I27" s="197"/>
    </row>
    <row r="28" spans="3:9">
      <c r="C28" s="111">
        <v>18</v>
      </c>
      <c r="D28" s="197" t="s">
        <v>1847</v>
      </c>
      <c r="E28" s="111" t="s">
        <v>9</v>
      </c>
      <c r="F28" s="111" t="s">
        <v>27</v>
      </c>
      <c r="G28" s="111">
        <v>8054150349</v>
      </c>
      <c r="H28" s="197" t="s">
        <v>1848</v>
      </c>
      <c r="I28" s="197"/>
    </row>
    <row r="29" spans="3:9">
      <c r="C29" s="111">
        <v>19</v>
      </c>
      <c r="D29" s="197" t="s">
        <v>1849</v>
      </c>
      <c r="E29" s="111" t="s">
        <v>9</v>
      </c>
      <c r="F29" s="111" t="s">
        <v>27</v>
      </c>
      <c r="G29" s="111"/>
      <c r="H29" s="197" t="s">
        <v>1850</v>
      </c>
      <c r="I29" s="197"/>
    </row>
    <row r="30" spans="3:9">
      <c r="C30" s="111">
        <v>20</v>
      </c>
      <c r="D30" s="197" t="s">
        <v>1851</v>
      </c>
      <c r="E30" s="111" t="s">
        <v>12</v>
      </c>
      <c r="F30" s="111" t="s">
        <v>27</v>
      </c>
      <c r="G30" s="111">
        <v>8034384605</v>
      </c>
      <c r="H30" s="197" t="s">
        <v>1852</v>
      </c>
      <c r="I30" s="197"/>
    </row>
    <row r="31" spans="3:9">
      <c r="C31" s="111">
        <v>21</v>
      </c>
      <c r="D31" s="197" t="s">
        <v>1853</v>
      </c>
      <c r="E31" s="111" t="s">
        <v>12</v>
      </c>
      <c r="F31" s="111" t="s">
        <v>27</v>
      </c>
      <c r="G31" s="111"/>
      <c r="H31" s="197" t="s">
        <v>1854</v>
      </c>
      <c r="I31" s="197"/>
    </row>
    <row r="32" spans="3:9">
      <c r="C32" s="111">
        <v>22</v>
      </c>
      <c r="D32" s="197" t="s">
        <v>1855</v>
      </c>
      <c r="E32" s="111" t="s">
        <v>12</v>
      </c>
      <c r="F32" s="111" t="s">
        <v>38</v>
      </c>
      <c r="G32" s="111"/>
      <c r="H32" s="197" t="s">
        <v>1856</v>
      </c>
      <c r="I32" s="197"/>
    </row>
    <row r="33" spans="3:9">
      <c r="C33" s="111">
        <v>23</v>
      </c>
      <c r="D33" s="197" t="s">
        <v>1857</v>
      </c>
      <c r="E33" s="111" t="s">
        <v>12</v>
      </c>
      <c r="F33" s="111" t="s">
        <v>38</v>
      </c>
      <c r="G33" s="111">
        <v>8034007112</v>
      </c>
      <c r="H33" s="197" t="s">
        <v>1858</v>
      </c>
      <c r="I33" s="197"/>
    </row>
    <row r="34" spans="3:9">
      <c r="C34" s="111">
        <v>24</v>
      </c>
      <c r="D34" s="197" t="s">
        <v>1859</v>
      </c>
      <c r="E34" s="111" t="s">
        <v>9</v>
      </c>
      <c r="F34" s="111" t="s">
        <v>38</v>
      </c>
      <c r="G34" s="111">
        <v>8034902707</v>
      </c>
      <c r="H34" s="197" t="s">
        <v>1860</v>
      </c>
      <c r="I34" s="197"/>
    </row>
    <row r="35" spans="3:9">
      <c r="C35" s="111">
        <v>25</v>
      </c>
      <c r="D35" s="197" t="s">
        <v>1861</v>
      </c>
      <c r="E35" s="111" t="s">
        <v>12</v>
      </c>
      <c r="F35" s="111" t="s">
        <v>38</v>
      </c>
      <c r="G35" s="111"/>
      <c r="H35" s="197" t="s">
        <v>1862</v>
      </c>
      <c r="I35" s="197"/>
    </row>
    <row r="36" spans="3:9">
      <c r="C36" s="111">
        <v>26</v>
      </c>
      <c r="D36" s="197" t="s">
        <v>1863</v>
      </c>
      <c r="E36" s="111" t="s">
        <v>12</v>
      </c>
      <c r="F36" s="111" t="s">
        <v>1864</v>
      </c>
      <c r="G36" s="111"/>
      <c r="H36" s="197" t="s">
        <v>1865</v>
      </c>
      <c r="I36" s="197"/>
    </row>
    <row r="37" spans="3:9">
      <c r="C37" s="111">
        <v>27</v>
      </c>
      <c r="D37" s="197" t="s">
        <v>1866</v>
      </c>
      <c r="E37" s="111" t="s">
        <v>12</v>
      </c>
      <c r="F37" s="111" t="s">
        <v>19</v>
      </c>
      <c r="G37" s="111">
        <v>8054470323</v>
      </c>
      <c r="H37" s="197" t="s">
        <v>1867</v>
      </c>
      <c r="I37" s="197"/>
    </row>
    <row r="38" spans="3:9">
      <c r="C38" s="111">
        <v>28</v>
      </c>
      <c r="D38" s="197" t="s">
        <v>1868</v>
      </c>
      <c r="E38" s="111" t="s">
        <v>12</v>
      </c>
      <c r="F38" s="111" t="s">
        <v>19</v>
      </c>
      <c r="G38" s="111"/>
      <c r="H38" s="197" t="s">
        <v>1869</v>
      </c>
      <c r="I38" s="197"/>
    </row>
    <row r="39" spans="3:9">
      <c r="C39" s="111">
        <v>29</v>
      </c>
      <c r="D39" s="197" t="s">
        <v>1870</v>
      </c>
      <c r="E39" s="111" t="s">
        <v>12</v>
      </c>
      <c r="F39" s="111" t="s">
        <v>19</v>
      </c>
      <c r="G39" s="111">
        <v>8035307395</v>
      </c>
      <c r="H39" s="197" t="s">
        <v>1871</v>
      </c>
      <c r="I39" s="197"/>
    </row>
    <row r="40" spans="3:9">
      <c r="C40" s="111">
        <v>30</v>
      </c>
      <c r="D40" s="197" t="s">
        <v>1872</v>
      </c>
      <c r="E40" s="111" t="s">
        <v>12</v>
      </c>
      <c r="F40" s="111" t="s">
        <v>144</v>
      </c>
      <c r="G40" s="111"/>
      <c r="H40" s="197" t="s">
        <v>1873</v>
      </c>
      <c r="I40" s="197"/>
    </row>
    <row r="41" spans="3:9">
      <c r="C41" s="111">
        <v>31</v>
      </c>
      <c r="D41" s="197" t="s">
        <v>1874</v>
      </c>
      <c r="E41" s="111" t="s">
        <v>12</v>
      </c>
      <c r="F41" s="111" t="s">
        <v>144</v>
      </c>
      <c r="G41" s="111">
        <v>8035963873</v>
      </c>
      <c r="H41" s="197" t="s">
        <v>1875</v>
      </c>
      <c r="I41" s="197"/>
    </row>
    <row r="42" spans="3:9">
      <c r="C42" s="111">
        <v>32</v>
      </c>
      <c r="D42" s="197" t="s">
        <v>1876</v>
      </c>
      <c r="E42" s="111" t="s">
        <v>12</v>
      </c>
      <c r="F42" s="111" t="s">
        <v>144</v>
      </c>
      <c r="G42" s="111"/>
      <c r="H42" s="197" t="s">
        <v>1877</v>
      </c>
      <c r="I42" s="197"/>
    </row>
    <row r="43" spans="3:9">
      <c r="C43" s="111">
        <v>33</v>
      </c>
      <c r="D43" s="197" t="s">
        <v>1878</v>
      </c>
      <c r="E43" s="111" t="s">
        <v>12</v>
      </c>
      <c r="F43" s="111" t="s">
        <v>144</v>
      </c>
      <c r="G43" s="111"/>
      <c r="H43" s="197" t="s">
        <v>1879</v>
      </c>
      <c r="I43" s="197"/>
    </row>
    <row r="44" spans="3:9">
      <c r="C44" s="111">
        <v>34</v>
      </c>
      <c r="D44" s="197" t="s">
        <v>1880</v>
      </c>
      <c r="E44" s="111" t="s">
        <v>12</v>
      </c>
      <c r="F44" s="111" t="s">
        <v>64</v>
      </c>
      <c r="G44" s="111"/>
      <c r="H44" s="197" t="s">
        <v>1881</v>
      </c>
      <c r="I44" s="197"/>
    </row>
    <row r="45" spans="3:9">
      <c r="C45" s="111">
        <v>35</v>
      </c>
      <c r="D45" s="197" t="s">
        <v>1882</v>
      </c>
      <c r="E45" s="111" t="s">
        <v>12</v>
      </c>
      <c r="F45" s="111" t="s">
        <v>64</v>
      </c>
      <c r="G45" s="111">
        <v>8038579079</v>
      </c>
      <c r="H45" s="197" t="s">
        <v>1823</v>
      </c>
      <c r="I45" s="197"/>
    </row>
    <row r="46" spans="3:9">
      <c r="C46" s="111">
        <v>36</v>
      </c>
      <c r="D46" s="197" t="s">
        <v>1883</v>
      </c>
      <c r="E46" s="111" t="s">
        <v>12</v>
      </c>
      <c r="F46" s="111" t="s">
        <v>64</v>
      </c>
      <c r="G46" s="111"/>
      <c r="H46" s="197" t="s">
        <v>1884</v>
      </c>
      <c r="I46" s="197"/>
    </row>
    <row r="47" spans="3:9">
      <c r="C47" s="111">
        <v>37</v>
      </c>
      <c r="D47" s="197" t="s">
        <v>1885</v>
      </c>
      <c r="E47" s="111" t="s">
        <v>9</v>
      </c>
      <c r="F47" s="111" t="s">
        <v>218</v>
      </c>
      <c r="G47" s="111">
        <v>8038126521</v>
      </c>
      <c r="H47" s="197" t="s">
        <v>1886</v>
      </c>
      <c r="I47" s="197"/>
    </row>
    <row r="48" spans="3:9">
      <c r="C48" s="111">
        <v>38</v>
      </c>
      <c r="D48" s="197" t="s">
        <v>1887</v>
      </c>
      <c r="E48" s="111" t="s">
        <v>12</v>
      </c>
      <c r="F48" s="111" t="s">
        <v>317</v>
      </c>
      <c r="G48" s="111">
        <v>8034902014</v>
      </c>
      <c r="H48" s="197" t="s">
        <v>1856</v>
      </c>
      <c r="I48" s="197"/>
    </row>
    <row r="49" spans="3:9">
      <c r="C49" s="111">
        <v>39</v>
      </c>
      <c r="D49" s="197" t="s">
        <v>1888</v>
      </c>
      <c r="E49" s="111" t="s">
        <v>12</v>
      </c>
      <c r="F49" s="111" t="s">
        <v>53</v>
      </c>
      <c r="G49" s="111">
        <v>8035690292</v>
      </c>
      <c r="H49" s="197" t="s">
        <v>1889</v>
      </c>
      <c r="I49" s="197"/>
    </row>
    <row r="50" spans="3:9">
      <c r="C50" s="111">
        <v>40</v>
      </c>
      <c r="D50" s="197" t="s">
        <v>1890</v>
      </c>
      <c r="E50" s="111" t="s">
        <v>12</v>
      </c>
      <c r="F50" s="111" t="s">
        <v>16</v>
      </c>
      <c r="G50" s="111"/>
      <c r="H50" s="197" t="s">
        <v>1891</v>
      </c>
      <c r="I50" s="197"/>
    </row>
    <row r="51" spans="3:9">
      <c r="C51" s="111">
        <v>41</v>
      </c>
      <c r="D51" s="197" t="s">
        <v>1892</v>
      </c>
      <c r="E51" s="111" t="s">
        <v>9</v>
      </c>
      <c r="F51" s="111" t="s">
        <v>16</v>
      </c>
      <c r="G51" s="111">
        <v>8033564863</v>
      </c>
      <c r="H51" s="197" t="s">
        <v>1893</v>
      </c>
      <c r="I51" s="197"/>
    </row>
    <row r="52" spans="3:9">
      <c r="C52" s="111">
        <v>42</v>
      </c>
      <c r="D52" s="197" t="s">
        <v>1894</v>
      </c>
      <c r="E52" s="111" t="s">
        <v>12</v>
      </c>
      <c r="F52" s="111" t="s">
        <v>21</v>
      </c>
      <c r="G52" s="111">
        <v>8034617764</v>
      </c>
      <c r="H52" s="197" t="s">
        <v>1895</v>
      </c>
      <c r="I52" s="197"/>
    </row>
    <row r="53" spans="3:9">
      <c r="C53" s="111">
        <v>43</v>
      </c>
      <c r="D53" s="197" t="s">
        <v>1896</v>
      </c>
      <c r="E53" s="111" t="s">
        <v>12</v>
      </c>
      <c r="F53" s="111" t="s">
        <v>21</v>
      </c>
      <c r="G53" s="111">
        <v>8034677544</v>
      </c>
      <c r="H53" s="197" t="s">
        <v>1897</v>
      </c>
      <c r="I53" s="197"/>
    </row>
    <row r="54" spans="3:9">
      <c r="C54" s="111">
        <v>44</v>
      </c>
      <c r="D54" s="197" t="s">
        <v>1898</v>
      </c>
      <c r="E54" s="111" t="s">
        <v>12</v>
      </c>
      <c r="F54" s="111" t="s">
        <v>21</v>
      </c>
      <c r="G54" s="111">
        <v>8035393846</v>
      </c>
      <c r="H54" s="197" t="s">
        <v>1899</v>
      </c>
      <c r="I54" s="197"/>
    </row>
    <row r="55" spans="3:9">
      <c r="C55" s="111">
        <v>45</v>
      </c>
      <c r="D55" s="197" t="s">
        <v>1900</v>
      </c>
      <c r="E55" s="111" t="s">
        <v>12</v>
      </c>
      <c r="F55" s="111" t="s">
        <v>21</v>
      </c>
      <c r="G55" s="111"/>
      <c r="H55" s="197" t="s">
        <v>1901</v>
      </c>
      <c r="I55" s="197"/>
    </row>
    <row r="56" spans="3:9">
      <c r="C56" s="111">
        <v>46</v>
      </c>
      <c r="D56" s="197" t="s">
        <v>1902</v>
      </c>
      <c r="E56" s="111" t="s">
        <v>12</v>
      </c>
      <c r="F56" s="111" t="s">
        <v>21</v>
      </c>
      <c r="G56" s="111"/>
      <c r="H56" s="197" t="s">
        <v>1903</v>
      </c>
      <c r="I56" s="197"/>
    </row>
    <row r="57" spans="3:9">
      <c r="C57" s="111">
        <v>47</v>
      </c>
      <c r="D57" s="197" t="s">
        <v>1904</v>
      </c>
      <c r="E57" s="111" t="s">
        <v>12</v>
      </c>
      <c r="F57" s="111" t="s">
        <v>21</v>
      </c>
      <c r="G57" s="111">
        <v>8034347247</v>
      </c>
      <c r="H57" s="197" t="s">
        <v>1905</v>
      </c>
      <c r="I57" s="197"/>
    </row>
    <row r="58" spans="3:9">
      <c r="C58" s="111">
        <v>48</v>
      </c>
      <c r="D58" s="197" t="s">
        <v>1906</v>
      </c>
      <c r="E58" s="111" t="s">
        <v>12</v>
      </c>
      <c r="F58" s="111" t="s">
        <v>113</v>
      </c>
      <c r="G58" s="111">
        <v>8034113375</v>
      </c>
      <c r="H58" s="197" t="s">
        <v>1907</v>
      </c>
      <c r="I58" s="197" t="s">
        <v>1345</v>
      </c>
    </row>
    <row r="59" spans="3:9">
      <c r="C59" s="111">
        <v>49</v>
      </c>
      <c r="D59" s="197" t="s">
        <v>1843</v>
      </c>
      <c r="E59" s="111" t="s">
        <v>12</v>
      </c>
      <c r="F59" s="111" t="s">
        <v>1908</v>
      </c>
      <c r="G59" s="111"/>
      <c r="H59" s="197" t="s">
        <v>1909</v>
      </c>
      <c r="I59" s="197"/>
    </row>
    <row r="60" spans="3:9">
      <c r="C60" s="111">
        <v>50</v>
      </c>
      <c r="D60" s="197" t="s">
        <v>1910</v>
      </c>
      <c r="E60" s="111" t="s">
        <v>9</v>
      </c>
      <c r="F60" s="111" t="s">
        <v>113</v>
      </c>
      <c r="G60" s="111"/>
      <c r="H60" s="197" t="s">
        <v>1858</v>
      </c>
      <c r="I60" s="197"/>
    </row>
    <row r="61" spans="3:9">
      <c r="C61" s="111">
        <v>51</v>
      </c>
      <c r="D61" s="197" t="s">
        <v>1911</v>
      </c>
      <c r="E61" s="111" t="s">
        <v>12</v>
      </c>
      <c r="F61" s="111" t="s">
        <v>71</v>
      </c>
      <c r="G61" s="111">
        <v>8035662574</v>
      </c>
      <c r="H61" s="197" t="s">
        <v>1912</v>
      </c>
      <c r="I61" s="197"/>
    </row>
    <row r="62" spans="3:9">
      <c r="C62" s="111">
        <v>52</v>
      </c>
      <c r="D62" s="197" t="s">
        <v>1913</v>
      </c>
      <c r="E62" s="111" t="s">
        <v>12</v>
      </c>
      <c r="F62" s="111" t="s">
        <v>71</v>
      </c>
      <c r="G62" s="111"/>
      <c r="H62" s="197" t="s">
        <v>1914</v>
      </c>
      <c r="I62" s="197"/>
    </row>
    <row r="63" spans="3:9">
      <c r="C63" s="111">
        <v>53</v>
      </c>
      <c r="D63" s="197" t="s">
        <v>1915</v>
      </c>
      <c r="E63" s="111" t="s">
        <v>12</v>
      </c>
      <c r="F63" s="111" t="s">
        <v>71</v>
      </c>
      <c r="G63" s="111"/>
      <c r="H63" s="197" t="s">
        <v>1916</v>
      </c>
      <c r="I63" s="197"/>
    </row>
    <row r="64" spans="3:9">
      <c r="C64" s="111">
        <v>54</v>
      </c>
      <c r="D64" s="197" t="s">
        <v>1917</v>
      </c>
      <c r="E64" s="111" t="s">
        <v>12</v>
      </c>
      <c r="F64" s="111" t="s">
        <v>71</v>
      </c>
      <c r="G64" s="111"/>
      <c r="H64" s="197" t="s">
        <v>1918</v>
      </c>
      <c r="I64" s="197"/>
    </row>
    <row r="65" spans="3:9">
      <c r="C65" s="111">
        <v>55</v>
      </c>
      <c r="D65" s="197" t="s">
        <v>1919</v>
      </c>
      <c r="E65" s="111" t="s">
        <v>12</v>
      </c>
      <c r="F65" s="111" t="s">
        <v>71</v>
      </c>
      <c r="G65" s="111">
        <v>8028988126</v>
      </c>
      <c r="H65" s="197"/>
      <c r="I65" s="197"/>
    </row>
    <row r="66" spans="3:9">
      <c r="C66" s="111">
        <v>56</v>
      </c>
      <c r="D66" s="197" t="s">
        <v>1920</v>
      </c>
      <c r="E66" s="111" t="s">
        <v>12</v>
      </c>
      <c r="F66" s="111" t="s">
        <v>71</v>
      </c>
      <c r="G66" s="111">
        <v>8030651545</v>
      </c>
      <c r="H66" s="197" t="s">
        <v>1921</v>
      </c>
      <c r="I66" s="197"/>
    </row>
    <row r="67" spans="3:9">
      <c r="C67" s="111">
        <v>57</v>
      </c>
      <c r="D67" s="197" t="s">
        <v>1922</v>
      </c>
      <c r="E67" s="111" t="s">
        <v>12</v>
      </c>
      <c r="F67" s="111" t="s">
        <v>71</v>
      </c>
      <c r="G67" s="111">
        <v>8043334562</v>
      </c>
      <c r="H67" s="197" t="s">
        <v>1923</v>
      </c>
      <c r="I67" s="197"/>
    </row>
    <row r="68" spans="3:9">
      <c r="C68" s="111">
        <v>58</v>
      </c>
      <c r="D68" s="197" t="s">
        <v>1924</v>
      </c>
      <c r="E68" s="111" t="s">
        <v>12</v>
      </c>
      <c r="F68" s="111" t="s">
        <v>118</v>
      </c>
      <c r="G68" s="111">
        <v>8036565342</v>
      </c>
      <c r="H68" s="197" t="s">
        <v>1925</v>
      </c>
      <c r="I68" s="197"/>
    </row>
    <row r="69" spans="3:9">
      <c r="C69" s="111">
        <v>59</v>
      </c>
      <c r="D69" s="197" t="s">
        <v>1926</v>
      </c>
      <c r="E69" s="111" t="s">
        <v>12</v>
      </c>
      <c r="F69" s="111" t="s">
        <v>118</v>
      </c>
      <c r="G69" s="111">
        <v>8035623733</v>
      </c>
      <c r="H69" s="197" t="s">
        <v>1927</v>
      </c>
      <c r="I69" s="197"/>
    </row>
    <row r="70" spans="3:9">
      <c r="C70" s="111">
        <v>60</v>
      </c>
      <c r="D70" s="197" t="s">
        <v>1928</v>
      </c>
      <c r="E70" s="111" t="s">
        <v>12</v>
      </c>
      <c r="F70" s="111" t="s">
        <v>1929</v>
      </c>
      <c r="G70" s="111">
        <v>8034978775</v>
      </c>
      <c r="H70" s="197" t="s">
        <v>1930</v>
      </c>
      <c r="I70" s="197"/>
    </row>
    <row r="71" spans="3:9">
      <c r="C71" s="111">
        <v>61</v>
      </c>
      <c r="D71" s="197" t="s">
        <v>1931</v>
      </c>
      <c r="E71" s="111" t="s">
        <v>9</v>
      </c>
      <c r="F71" s="111" t="s">
        <v>43</v>
      </c>
      <c r="G71" s="111">
        <v>8035464271</v>
      </c>
      <c r="H71" s="197" t="s">
        <v>1921</v>
      </c>
      <c r="I71" s="197"/>
    </row>
    <row r="72" spans="3:9">
      <c r="C72" s="111">
        <v>62</v>
      </c>
      <c r="D72" s="197" t="s">
        <v>1932</v>
      </c>
      <c r="E72" s="111" t="s">
        <v>9</v>
      </c>
      <c r="F72" s="111" t="s">
        <v>43</v>
      </c>
      <c r="G72" s="111">
        <v>8038046153</v>
      </c>
      <c r="H72" s="197" t="s">
        <v>1933</v>
      </c>
      <c r="I72" s="197"/>
    </row>
    <row r="73" spans="3:9">
      <c r="C73" s="111">
        <v>63</v>
      </c>
      <c r="D73" s="197" t="s">
        <v>1934</v>
      </c>
      <c r="E73" s="111" t="s">
        <v>12</v>
      </c>
      <c r="F73" s="111" t="s">
        <v>43</v>
      </c>
      <c r="G73" s="111">
        <v>8036951219</v>
      </c>
      <c r="H73" s="197" t="s">
        <v>1935</v>
      </c>
      <c r="I73" s="197"/>
    </row>
    <row r="74" spans="3:9">
      <c r="C74" s="111">
        <v>64</v>
      </c>
      <c r="D74" s="197" t="s">
        <v>1936</v>
      </c>
      <c r="E74" s="111" t="s">
        <v>12</v>
      </c>
      <c r="F74" s="111" t="s">
        <v>43</v>
      </c>
      <c r="G74" s="111"/>
      <c r="H74" s="197"/>
      <c r="I74" s="197"/>
    </row>
    <row r="75" spans="3:9">
      <c r="C75" s="111">
        <v>65</v>
      </c>
      <c r="D75" s="197" t="s">
        <v>1468</v>
      </c>
      <c r="E75" s="111" t="s">
        <v>12</v>
      </c>
      <c r="F75" s="111" t="s">
        <v>77</v>
      </c>
      <c r="G75" s="111">
        <v>8029183974</v>
      </c>
      <c r="H75" s="197" t="s">
        <v>1937</v>
      </c>
      <c r="I75" s="197"/>
    </row>
    <row r="76" spans="3:9">
      <c r="C76" s="111">
        <v>66</v>
      </c>
      <c r="D76" s="197" t="s">
        <v>1938</v>
      </c>
      <c r="E76" s="111" t="s">
        <v>12</v>
      </c>
      <c r="F76" s="111" t="s">
        <v>77</v>
      </c>
      <c r="G76" s="111">
        <v>8035786392</v>
      </c>
      <c r="H76" s="197" t="s">
        <v>1939</v>
      </c>
      <c r="I76" s="197"/>
    </row>
    <row r="77" spans="3:9">
      <c r="C77" s="111">
        <v>67</v>
      </c>
      <c r="D77" s="197" t="s">
        <v>1940</v>
      </c>
      <c r="E77" s="111" t="s">
        <v>9</v>
      </c>
      <c r="F77" s="111" t="s">
        <v>77</v>
      </c>
      <c r="G77" s="111">
        <v>8035852092</v>
      </c>
      <c r="H77" s="197" t="s">
        <v>1941</v>
      </c>
      <c r="I77" s="197"/>
    </row>
    <row r="78" spans="3:9">
      <c r="C78" s="111">
        <v>68</v>
      </c>
      <c r="D78" s="197" t="s">
        <v>1942</v>
      </c>
      <c r="E78" s="111" t="s">
        <v>12</v>
      </c>
      <c r="F78" s="111" t="s">
        <v>77</v>
      </c>
      <c r="G78" s="111">
        <v>8033704059</v>
      </c>
      <c r="H78" s="197" t="s">
        <v>1943</v>
      </c>
      <c r="I78" s="197"/>
    </row>
    <row r="79" spans="3:9">
      <c r="C79" s="111">
        <v>69</v>
      </c>
      <c r="D79" s="197" t="s">
        <v>1944</v>
      </c>
      <c r="E79" s="111"/>
      <c r="F79" s="111" t="s">
        <v>16</v>
      </c>
      <c r="G79" s="111"/>
      <c r="H79" s="197" t="s">
        <v>1945</v>
      </c>
      <c r="I79" s="197"/>
    </row>
    <row r="80" spans="3:9">
      <c r="C80" s="111">
        <v>70</v>
      </c>
      <c r="D80" s="197" t="s">
        <v>1946</v>
      </c>
      <c r="E80" s="111" t="s">
        <v>9</v>
      </c>
      <c r="F80" s="111" t="s">
        <v>10</v>
      </c>
      <c r="G80" s="111"/>
      <c r="H80" s="197" t="s">
        <v>1947</v>
      </c>
      <c r="I80" s="197"/>
    </row>
    <row r="81" spans="3:9">
      <c r="C81" s="111">
        <v>71</v>
      </c>
      <c r="D81" s="197"/>
      <c r="E81" s="111"/>
      <c r="F81" s="111"/>
      <c r="G81" s="111"/>
      <c r="H81" s="197"/>
      <c r="I81" s="197"/>
    </row>
    <row r="82" spans="3:9">
      <c r="C82" s="111">
        <v>72</v>
      </c>
      <c r="D82" s="197"/>
      <c r="E82" s="111"/>
      <c r="F82" s="111"/>
      <c r="G82" s="111"/>
      <c r="H82" s="197"/>
      <c r="I82" s="197"/>
    </row>
    <row r="83" spans="3:9">
      <c r="C83" s="111">
        <v>73</v>
      </c>
      <c r="D83" s="197"/>
      <c r="E83" s="111"/>
      <c r="F83" s="111"/>
      <c r="G83" s="111"/>
      <c r="H83" s="197"/>
      <c r="I83" s="197"/>
    </row>
  </sheetData>
  <pageMargins left="0.7" right="0.7" top="0.75" bottom="0.75" header="0.3" footer="0.3"/>
  <pageSetup paperSize="0" fitToWidth="0" fitToHeight="0"/>
</worksheet>
</file>

<file path=xl/worksheets/sheet15.xml><?xml version="1.0" encoding="utf-8"?>
<worksheet xmlns="http://schemas.openxmlformats.org/spreadsheetml/2006/main" xmlns:r="http://schemas.openxmlformats.org/officeDocument/2006/relationships">
  <dimension ref="B3:I50"/>
  <sheetViews>
    <sheetView topLeftCell="A58" workbookViewId="0">
      <selection activeCell="F48" sqref="F48"/>
    </sheetView>
  </sheetViews>
  <sheetFormatPr defaultColWidth="9" defaultRowHeight="15"/>
  <cols>
    <col min="1" max="1" width="8.5703125" customWidth="1"/>
    <col min="2" max="2" width="5.5703125" customWidth="1"/>
    <col min="3" max="3" width="27" customWidth="1"/>
    <col min="4" max="4" width="7.42578125" customWidth="1"/>
    <col min="5" max="5" width="8.7109375" customWidth="1"/>
    <col min="6" max="6" width="14.5703125" customWidth="1"/>
    <col min="7" max="7" width="8.5703125" customWidth="1"/>
    <col min="8" max="8" width="20.7109375" customWidth="1"/>
    <col min="9" max="256" width="8.5703125" customWidth="1"/>
  </cols>
  <sheetData>
    <row r="3" spans="2:9" ht="15.75">
      <c r="E3" s="42"/>
      <c r="F3" s="43"/>
      <c r="H3" s="44" t="s">
        <v>0</v>
      </c>
      <c r="I3" s="42"/>
    </row>
    <row r="4" spans="2:9" ht="15.75">
      <c r="E4" s="42"/>
      <c r="F4" s="43"/>
      <c r="H4" s="44" t="s">
        <v>1</v>
      </c>
      <c r="I4" s="42"/>
    </row>
    <row r="5" spans="2:9" ht="15.75">
      <c r="E5" s="42"/>
      <c r="F5" s="45"/>
      <c r="H5" s="46" t="s">
        <v>2</v>
      </c>
      <c r="I5" s="42"/>
    </row>
    <row r="6" spans="2:9" ht="15.75">
      <c r="D6" s="42"/>
      <c r="E6" s="45"/>
      <c r="G6" s="46"/>
      <c r="H6" s="42"/>
    </row>
    <row r="7" spans="2:9">
      <c r="D7" s="60" t="s">
        <v>1271</v>
      </c>
      <c r="E7" s="61"/>
      <c r="F7" s="61"/>
      <c r="G7" s="61"/>
      <c r="H7" s="61"/>
    </row>
    <row r="8" spans="2:9" ht="15.75">
      <c r="D8" s="62" t="s">
        <v>1272</v>
      </c>
      <c r="E8" s="61"/>
      <c r="F8" s="61"/>
      <c r="G8" s="61"/>
      <c r="H8" s="61"/>
    </row>
    <row r="11" spans="2:9">
      <c r="B11" s="198" t="s">
        <v>3</v>
      </c>
      <c r="C11" s="198" t="s">
        <v>4</v>
      </c>
      <c r="D11" s="198" t="s">
        <v>6</v>
      </c>
      <c r="E11" s="198" t="s">
        <v>7</v>
      </c>
      <c r="F11" s="198" t="s">
        <v>954</v>
      </c>
      <c r="G11" s="198" t="s">
        <v>558</v>
      </c>
      <c r="H11" s="198" t="s">
        <v>545</v>
      </c>
    </row>
    <row r="12" spans="2:9">
      <c r="B12" s="119">
        <v>1</v>
      </c>
      <c r="C12" s="117" t="s">
        <v>1422</v>
      </c>
      <c r="D12" s="119" t="s">
        <v>12</v>
      </c>
      <c r="E12" s="119" t="s">
        <v>14</v>
      </c>
      <c r="F12" s="117"/>
      <c r="G12" s="115">
        <v>42379</v>
      </c>
      <c r="H12" s="117"/>
    </row>
    <row r="13" spans="2:9">
      <c r="B13" s="119">
        <v>2</v>
      </c>
      <c r="C13" s="117" t="s">
        <v>1423</v>
      </c>
      <c r="D13" s="119"/>
      <c r="E13" s="119" t="s">
        <v>29</v>
      </c>
      <c r="F13" s="117"/>
      <c r="G13" s="115">
        <v>42379</v>
      </c>
      <c r="H13" s="117"/>
    </row>
    <row r="14" spans="2:9">
      <c r="B14" s="119">
        <v>3</v>
      </c>
      <c r="C14" s="117" t="s">
        <v>1424</v>
      </c>
      <c r="D14" s="119" t="s">
        <v>12</v>
      </c>
      <c r="E14" s="119" t="s">
        <v>21</v>
      </c>
      <c r="F14" s="117"/>
      <c r="G14" s="115">
        <v>42379</v>
      </c>
      <c r="H14" s="117"/>
    </row>
    <row r="15" spans="2:9">
      <c r="B15" s="119">
        <v>4</v>
      </c>
      <c r="C15" s="117" t="s">
        <v>1425</v>
      </c>
      <c r="D15" s="119" t="s">
        <v>12</v>
      </c>
      <c r="E15" s="119" t="s">
        <v>1374</v>
      </c>
      <c r="F15" s="117"/>
      <c r="G15" s="115">
        <v>42657</v>
      </c>
      <c r="H15" s="117"/>
    </row>
    <row r="16" spans="2:9">
      <c r="B16" s="119">
        <v>5</v>
      </c>
      <c r="C16" s="117" t="s">
        <v>1426</v>
      </c>
      <c r="D16" s="119"/>
      <c r="E16" s="119" t="s">
        <v>14</v>
      </c>
      <c r="F16" s="117"/>
      <c r="G16" s="117"/>
      <c r="H16" s="117"/>
    </row>
    <row r="17" spans="2:8">
      <c r="B17" s="119">
        <v>6</v>
      </c>
      <c r="C17" s="117" t="s">
        <v>1427</v>
      </c>
      <c r="D17" s="119"/>
      <c r="E17" s="119" t="s">
        <v>53</v>
      </c>
      <c r="F17" s="117"/>
      <c r="G17" s="117"/>
      <c r="H17" s="117"/>
    </row>
    <row r="18" spans="2:8">
      <c r="B18" s="119">
        <v>7</v>
      </c>
      <c r="C18" s="117" t="s">
        <v>1428</v>
      </c>
      <c r="D18" s="119" t="s">
        <v>12</v>
      </c>
      <c r="E18" s="119" t="s">
        <v>25</v>
      </c>
      <c r="F18" s="117"/>
      <c r="G18" s="115">
        <v>42383</v>
      </c>
      <c r="H18" s="117"/>
    </row>
    <row r="19" spans="2:8">
      <c r="B19" s="119">
        <v>8</v>
      </c>
      <c r="C19" s="117" t="s">
        <v>1429</v>
      </c>
      <c r="D19" s="119" t="s">
        <v>12</v>
      </c>
      <c r="E19" s="119" t="s">
        <v>31</v>
      </c>
      <c r="F19" s="117"/>
      <c r="G19" s="115">
        <v>42392</v>
      </c>
      <c r="H19" s="117"/>
    </row>
    <row r="20" spans="2:8">
      <c r="B20" s="119">
        <v>9</v>
      </c>
      <c r="C20" s="117" t="s">
        <v>1430</v>
      </c>
      <c r="D20" s="119"/>
      <c r="E20" s="119" t="s">
        <v>1431</v>
      </c>
      <c r="F20" s="117"/>
      <c r="G20" s="115">
        <v>42404</v>
      </c>
      <c r="H20" s="117"/>
    </row>
    <row r="21" spans="2:8">
      <c r="B21" s="119">
        <v>10</v>
      </c>
      <c r="C21" s="117" t="s">
        <v>1432</v>
      </c>
      <c r="D21" s="119" t="s">
        <v>12</v>
      </c>
      <c r="E21" s="119" t="s">
        <v>19</v>
      </c>
      <c r="F21" s="117"/>
      <c r="G21" s="115">
        <v>42410</v>
      </c>
      <c r="H21" s="117"/>
    </row>
    <row r="22" spans="2:8">
      <c r="B22" s="119">
        <v>11</v>
      </c>
      <c r="C22" s="117" t="s">
        <v>1433</v>
      </c>
      <c r="D22" s="119" t="s">
        <v>9</v>
      </c>
      <c r="E22" s="119" t="s">
        <v>10</v>
      </c>
      <c r="F22" s="117"/>
      <c r="G22" s="115">
        <v>42414</v>
      </c>
      <c r="H22" s="117"/>
    </row>
    <row r="23" spans="2:8">
      <c r="B23" s="119">
        <v>12</v>
      </c>
      <c r="C23" s="117" t="s">
        <v>1434</v>
      </c>
      <c r="D23" s="119"/>
      <c r="E23" s="119" t="s">
        <v>14</v>
      </c>
      <c r="F23" s="117"/>
      <c r="G23" s="117"/>
      <c r="H23" s="117"/>
    </row>
    <row r="24" spans="2:8">
      <c r="B24" s="119">
        <v>13</v>
      </c>
      <c r="C24" s="117" t="s">
        <v>1435</v>
      </c>
      <c r="D24" s="119" t="s">
        <v>12</v>
      </c>
      <c r="E24" s="119" t="s">
        <v>118</v>
      </c>
      <c r="F24" s="117"/>
      <c r="G24" s="115">
        <v>42447</v>
      </c>
      <c r="H24" s="117"/>
    </row>
    <row r="25" spans="2:8">
      <c r="B25" s="119">
        <v>14</v>
      </c>
      <c r="C25" s="117" t="s">
        <v>1436</v>
      </c>
      <c r="D25" s="119" t="s">
        <v>12</v>
      </c>
      <c r="E25" s="119" t="s">
        <v>21</v>
      </c>
      <c r="F25" s="117"/>
      <c r="G25" s="115">
        <v>42458</v>
      </c>
      <c r="H25" s="117"/>
    </row>
    <row r="26" spans="2:8">
      <c r="B26" s="119">
        <v>15</v>
      </c>
      <c r="C26" s="117" t="s">
        <v>1437</v>
      </c>
      <c r="D26" s="119"/>
      <c r="E26" s="119" t="s">
        <v>21</v>
      </c>
      <c r="F26" s="117"/>
      <c r="G26" s="115">
        <v>42460</v>
      </c>
      <c r="H26" s="117"/>
    </row>
    <row r="27" spans="2:8">
      <c r="B27" s="119">
        <v>16</v>
      </c>
      <c r="C27" s="117" t="s">
        <v>1438</v>
      </c>
      <c r="D27" s="119" t="s">
        <v>12</v>
      </c>
      <c r="E27" s="119" t="s">
        <v>1439</v>
      </c>
      <c r="F27" s="117"/>
      <c r="G27" s="115">
        <v>42478</v>
      </c>
      <c r="H27" s="117"/>
    </row>
    <row r="28" spans="2:8">
      <c r="B28" s="119">
        <v>17</v>
      </c>
      <c r="C28" s="117" t="s">
        <v>1440</v>
      </c>
      <c r="D28" s="119" t="s">
        <v>9</v>
      </c>
      <c r="E28" s="119" t="s">
        <v>16</v>
      </c>
      <c r="F28" s="117"/>
      <c r="G28" s="115">
        <v>42480</v>
      </c>
      <c r="H28" s="117"/>
    </row>
    <row r="29" spans="2:8">
      <c r="B29" s="119">
        <v>18</v>
      </c>
      <c r="C29" s="117" t="s">
        <v>1441</v>
      </c>
      <c r="D29" s="119"/>
      <c r="E29" s="119" t="s">
        <v>14</v>
      </c>
      <c r="F29" s="117"/>
      <c r="G29" s="115">
        <v>42488</v>
      </c>
      <c r="H29" s="117"/>
    </row>
    <row r="30" spans="2:8">
      <c r="B30" s="119">
        <v>19</v>
      </c>
      <c r="C30" s="117" t="s">
        <v>1442</v>
      </c>
      <c r="D30" s="119" t="s">
        <v>12</v>
      </c>
      <c r="E30" s="119" t="s">
        <v>1431</v>
      </c>
      <c r="F30" s="117"/>
      <c r="G30" s="117"/>
      <c r="H30" s="117"/>
    </row>
    <row r="31" spans="2:8">
      <c r="B31" s="119">
        <v>20</v>
      </c>
      <c r="C31" s="117" t="s">
        <v>1443</v>
      </c>
      <c r="D31" s="119" t="s">
        <v>12</v>
      </c>
      <c r="E31" s="119" t="s">
        <v>118</v>
      </c>
      <c r="F31" s="117"/>
      <c r="G31" s="117"/>
      <c r="H31" s="117"/>
    </row>
    <row r="32" spans="2:8">
      <c r="B32" s="119">
        <v>21</v>
      </c>
      <c r="C32" s="117" t="s">
        <v>1444</v>
      </c>
      <c r="D32" s="119" t="s">
        <v>12</v>
      </c>
      <c r="E32" s="119" t="s">
        <v>1445</v>
      </c>
      <c r="F32" s="117"/>
      <c r="G32" s="115">
        <v>42509</v>
      </c>
      <c r="H32" s="117"/>
    </row>
    <row r="33" spans="2:8">
      <c r="B33" s="119">
        <v>22</v>
      </c>
      <c r="C33" s="117" t="s">
        <v>1446</v>
      </c>
      <c r="D33" s="119" t="s">
        <v>12</v>
      </c>
      <c r="E33" s="119" t="s">
        <v>14</v>
      </c>
      <c r="F33" s="117"/>
      <c r="G33" s="115">
        <v>42568</v>
      </c>
      <c r="H33" s="117"/>
    </row>
    <row r="34" spans="2:8">
      <c r="B34" s="119">
        <v>23</v>
      </c>
      <c r="C34" s="117" t="s">
        <v>1447</v>
      </c>
      <c r="D34" s="119" t="s">
        <v>9</v>
      </c>
      <c r="E34" s="119" t="s">
        <v>1431</v>
      </c>
      <c r="F34" s="117"/>
      <c r="G34" s="115">
        <v>42569</v>
      </c>
      <c r="H34" s="117"/>
    </row>
    <row r="35" spans="2:8">
      <c r="B35" s="119">
        <v>24</v>
      </c>
      <c r="C35" s="117" t="s">
        <v>1448</v>
      </c>
      <c r="D35" s="119" t="s">
        <v>12</v>
      </c>
      <c r="E35" s="119" t="s">
        <v>62</v>
      </c>
      <c r="F35" s="117"/>
      <c r="G35" s="115">
        <v>42580</v>
      </c>
      <c r="H35" s="117"/>
    </row>
    <row r="36" spans="2:8">
      <c r="B36" s="119">
        <v>25</v>
      </c>
      <c r="C36" s="117" t="s">
        <v>1449</v>
      </c>
      <c r="D36" s="119" t="s">
        <v>9</v>
      </c>
      <c r="E36" s="119" t="s">
        <v>43</v>
      </c>
      <c r="F36" s="117"/>
      <c r="G36" s="115">
        <v>42580</v>
      </c>
      <c r="H36" s="117"/>
    </row>
    <row r="37" spans="2:8">
      <c r="B37" s="119">
        <v>26</v>
      </c>
      <c r="C37" s="117" t="s">
        <v>1450</v>
      </c>
      <c r="D37" s="119" t="s">
        <v>9</v>
      </c>
      <c r="E37" s="119" t="s">
        <v>1439</v>
      </c>
      <c r="F37" s="117"/>
      <c r="G37" s="115">
        <v>42588</v>
      </c>
      <c r="H37" s="117"/>
    </row>
    <row r="38" spans="2:8">
      <c r="B38" s="119">
        <v>27</v>
      </c>
      <c r="C38" s="117" t="s">
        <v>1451</v>
      </c>
      <c r="D38" s="119" t="s">
        <v>9</v>
      </c>
      <c r="E38" s="119" t="s">
        <v>19</v>
      </c>
      <c r="F38" s="117"/>
      <c r="G38" s="115">
        <v>42578</v>
      </c>
      <c r="H38" s="117"/>
    </row>
    <row r="39" spans="2:8">
      <c r="B39" s="119">
        <v>28</v>
      </c>
      <c r="C39" s="117" t="s">
        <v>1452</v>
      </c>
      <c r="D39" s="119"/>
      <c r="E39" s="119" t="s">
        <v>31</v>
      </c>
      <c r="F39" s="117"/>
      <c r="G39" s="115">
        <v>42604</v>
      </c>
      <c r="H39" s="117"/>
    </row>
    <row r="40" spans="2:8">
      <c r="B40" s="119">
        <v>29</v>
      </c>
      <c r="C40" s="117" t="s">
        <v>1453</v>
      </c>
      <c r="D40" s="119" t="s">
        <v>12</v>
      </c>
      <c r="E40" s="119" t="s">
        <v>16</v>
      </c>
      <c r="F40" s="117"/>
      <c r="G40" s="115">
        <v>42611</v>
      </c>
      <c r="H40" s="117"/>
    </row>
    <row r="41" spans="2:8">
      <c r="B41" s="119">
        <v>30</v>
      </c>
      <c r="C41" s="117" t="s">
        <v>1454</v>
      </c>
      <c r="D41" s="119" t="s">
        <v>9</v>
      </c>
      <c r="E41" s="119" t="s">
        <v>53</v>
      </c>
      <c r="F41" s="117"/>
      <c r="G41" s="115">
        <v>42613</v>
      </c>
      <c r="H41" s="117"/>
    </row>
    <row r="42" spans="2:8">
      <c r="B42" s="119">
        <v>31</v>
      </c>
      <c r="C42" s="117" t="s">
        <v>1455</v>
      </c>
      <c r="D42" s="119" t="s">
        <v>12</v>
      </c>
      <c r="E42" s="119" t="s">
        <v>19</v>
      </c>
      <c r="F42" s="117"/>
      <c r="G42" s="115">
        <v>42637</v>
      </c>
      <c r="H42" s="117"/>
    </row>
    <row r="43" spans="2:8">
      <c r="B43" s="119">
        <v>32</v>
      </c>
      <c r="C43" s="117" t="s">
        <v>1456</v>
      </c>
      <c r="D43" s="119"/>
      <c r="E43" s="119" t="s">
        <v>1431</v>
      </c>
      <c r="F43" s="117"/>
      <c r="G43" s="115">
        <v>42631</v>
      </c>
      <c r="H43" s="117"/>
    </row>
    <row r="44" spans="2:8">
      <c r="B44" s="119">
        <v>33</v>
      </c>
      <c r="C44" s="117" t="s">
        <v>1457</v>
      </c>
      <c r="D44" s="119" t="s">
        <v>12</v>
      </c>
      <c r="E44" s="119" t="s">
        <v>144</v>
      </c>
      <c r="F44" s="117"/>
      <c r="G44" s="115">
        <v>42645</v>
      </c>
      <c r="H44" s="117"/>
    </row>
    <row r="45" spans="2:8">
      <c r="B45" s="119">
        <v>34</v>
      </c>
      <c r="C45" s="117" t="s">
        <v>1458</v>
      </c>
      <c r="D45" s="119" t="s">
        <v>12</v>
      </c>
      <c r="E45" s="119" t="s">
        <v>21</v>
      </c>
      <c r="F45" s="117"/>
      <c r="G45" s="115">
        <v>42662</v>
      </c>
      <c r="H45" s="117"/>
    </row>
    <row r="46" spans="2:8">
      <c r="B46" s="119">
        <v>35</v>
      </c>
      <c r="C46" s="117" t="s">
        <v>1459</v>
      </c>
      <c r="D46" s="119" t="s">
        <v>12</v>
      </c>
      <c r="E46" s="119" t="s">
        <v>10</v>
      </c>
      <c r="F46" s="117"/>
      <c r="G46" s="115">
        <v>42653</v>
      </c>
      <c r="H46" s="117"/>
    </row>
    <row r="47" spans="2:8">
      <c r="B47" s="119">
        <v>36</v>
      </c>
      <c r="C47" s="117" t="s">
        <v>1460</v>
      </c>
      <c r="D47" s="119" t="s">
        <v>12</v>
      </c>
      <c r="E47" s="119" t="s">
        <v>43</v>
      </c>
      <c r="F47" s="117"/>
      <c r="G47" s="115">
        <v>42700</v>
      </c>
      <c r="H47" s="117"/>
    </row>
    <row r="48" spans="2:8">
      <c r="B48" s="119">
        <v>37</v>
      </c>
      <c r="C48" s="117" t="s">
        <v>1461</v>
      </c>
      <c r="D48" s="119" t="s">
        <v>12</v>
      </c>
      <c r="E48" s="119" t="s">
        <v>64</v>
      </c>
      <c r="F48" s="117"/>
      <c r="G48" s="115"/>
      <c r="H48" s="117"/>
    </row>
    <row r="49" spans="2:8">
      <c r="B49" s="119">
        <v>38</v>
      </c>
      <c r="C49" s="117" t="s">
        <v>1462</v>
      </c>
      <c r="D49" s="119" t="s">
        <v>12</v>
      </c>
      <c r="E49" s="119" t="s">
        <v>43</v>
      </c>
      <c r="F49" s="117"/>
      <c r="G49" s="117"/>
      <c r="H49" s="117"/>
    </row>
    <row r="50" spans="2:8">
      <c r="B50" s="119">
        <v>39</v>
      </c>
      <c r="C50" s="117" t="s">
        <v>1463</v>
      </c>
      <c r="D50" s="119" t="s">
        <v>9</v>
      </c>
      <c r="E50" s="119" t="s">
        <v>16</v>
      </c>
      <c r="F50" s="117"/>
      <c r="G50" s="117"/>
      <c r="H50" s="117"/>
    </row>
  </sheetData>
  <pageMargins left="0.7" right="0.7" top="0.75" bottom="0.75" header="0.3" footer="0.3"/>
  <pageSetup paperSize="0" fitToWidth="0" fitToHeight="0"/>
</worksheet>
</file>

<file path=xl/worksheets/sheet16.xml><?xml version="1.0" encoding="utf-8"?>
<worksheet xmlns="http://schemas.openxmlformats.org/spreadsheetml/2006/main" xmlns:r="http://schemas.openxmlformats.org/officeDocument/2006/relationships">
  <dimension ref="C2:J76"/>
  <sheetViews>
    <sheetView workbookViewId="0">
      <selection activeCell="G14" sqref="G14"/>
    </sheetView>
  </sheetViews>
  <sheetFormatPr defaultColWidth="9" defaultRowHeight="15"/>
  <cols>
    <col min="1" max="1" width="8.5703125" customWidth="1"/>
    <col min="2" max="2" width="9.140625" customWidth="1"/>
    <col min="3" max="3" width="1.7109375" customWidth="1"/>
    <col min="4" max="4" width="6.42578125" customWidth="1"/>
    <col min="5" max="5" width="29.140625" customWidth="1"/>
    <col min="6" max="7" width="8.5703125" customWidth="1"/>
    <col min="8" max="8" width="19.85546875" customWidth="1"/>
    <col min="9" max="9" width="12.85546875" customWidth="1"/>
    <col min="10" max="10" width="22.7109375" customWidth="1"/>
    <col min="11" max="256" width="8.5703125" customWidth="1"/>
  </cols>
  <sheetData>
    <row r="2" spans="3:10" ht="15.75">
      <c r="D2" s="42"/>
      <c r="E2" s="43"/>
      <c r="G2" s="44" t="s">
        <v>0</v>
      </c>
      <c r="H2" s="42"/>
    </row>
    <row r="3" spans="3:10" ht="15.75">
      <c r="D3" s="42"/>
      <c r="E3" s="43"/>
      <c r="G3" s="44" t="s">
        <v>1</v>
      </c>
      <c r="H3" s="42"/>
    </row>
    <row r="4" spans="3:10" ht="15.75">
      <c r="D4" s="42"/>
      <c r="E4" s="45"/>
      <c r="G4" s="46" t="s">
        <v>2</v>
      </c>
      <c r="H4" s="42"/>
    </row>
    <row r="5" spans="3:10" ht="15.75">
      <c r="C5" s="42"/>
      <c r="D5" s="45"/>
      <c r="F5" s="46"/>
      <c r="G5" s="42"/>
    </row>
    <row r="6" spans="3:10">
      <c r="C6" s="199" t="s">
        <v>1812</v>
      </c>
      <c r="D6" s="200"/>
      <c r="E6" s="200"/>
      <c r="F6" s="200"/>
      <c r="G6" s="200"/>
      <c r="H6" s="201"/>
    </row>
    <row r="7" spans="3:10" ht="15.75">
      <c r="C7" s="202" t="s">
        <v>1813</v>
      </c>
      <c r="D7" s="200"/>
      <c r="E7" s="200"/>
      <c r="F7" s="200"/>
      <c r="G7" s="200"/>
      <c r="H7" s="201"/>
    </row>
    <row r="10" spans="3:10">
      <c r="D10" s="79" t="s">
        <v>3</v>
      </c>
      <c r="E10" s="187" t="s">
        <v>4</v>
      </c>
      <c r="F10" s="187" t="s">
        <v>6</v>
      </c>
      <c r="G10" s="187" t="s">
        <v>7</v>
      </c>
      <c r="H10" s="187" t="s">
        <v>304</v>
      </c>
      <c r="I10" s="187" t="s">
        <v>5</v>
      </c>
      <c r="J10" s="187" t="s">
        <v>545</v>
      </c>
    </row>
    <row r="11" spans="3:10">
      <c r="D11" s="117">
        <v>1</v>
      </c>
      <c r="E11" s="117" t="s">
        <v>1716</v>
      </c>
      <c r="F11" s="117"/>
      <c r="G11" s="117" t="s">
        <v>31</v>
      </c>
      <c r="H11" s="117"/>
      <c r="I11" s="115">
        <v>42690</v>
      </c>
      <c r="J11" s="117"/>
    </row>
    <row r="12" spans="3:10">
      <c r="D12" s="117">
        <v>2</v>
      </c>
      <c r="E12" s="117" t="s">
        <v>1717</v>
      </c>
      <c r="F12" s="117"/>
      <c r="G12" s="117" t="s">
        <v>1439</v>
      </c>
      <c r="H12" s="117"/>
      <c r="I12" s="115">
        <v>42733</v>
      </c>
      <c r="J12" s="117"/>
    </row>
    <row r="13" spans="3:10">
      <c r="D13" s="117">
        <v>3</v>
      </c>
      <c r="E13" s="117" t="s">
        <v>1718</v>
      </c>
      <c r="F13" s="117"/>
      <c r="G13" s="117" t="s">
        <v>96</v>
      </c>
      <c r="H13" s="117"/>
      <c r="I13" s="115">
        <v>42547</v>
      </c>
      <c r="J13" s="117"/>
    </row>
    <row r="14" spans="3:10">
      <c r="D14" s="117">
        <v>4</v>
      </c>
      <c r="E14" s="117" t="s">
        <v>1719</v>
      </c>
      <c r="F14" s="117"/>
      <c r="G14" s="117" t="s">
        <v>317</v>
      </c>
      <c r="H14" s="117"/>
      <c r="I14" s="115">
        <v>42544</v>
      </c>
      <c r="J14" s="117"/>
    </row>
    <row r="15" spans="3:10">
      <c r="D15" s="117">
        <v>5</v>
      </c>
      <c r="E15" s="117" t="s">
        <v>1720</v>
      </c>
      <c r="F15" s="117"/>
      <c r="G15" s="117" t="s">
        <v>29</v>
      </c>
      <c r="H15" s="117"/>
      <c r="I15" s="115">
        <v>42510</v>
      </c>
      <c r="J15" s="117"/>
    </row>
    <row r="16" spans="3:10">
      <c r="D16" s="117">
        <v>6</v>
      </c>
      <c r="E16" s="117" t="s">
        <v>1721</v>
      </c>
      <c r="F16" s="117"/>
      <c r="G16" s="117" t="s">
        <v>31</v>
      </c>
      <c r="H16" s="117"/>
      <c r="I16" s="115">
        <v>42452</v>
      </c>
      <c r="J16" s="117"/>
    </row>
    <row r="17" spans="4:10">
      <c r="D17" s="117">
        <v>7</v>
      </c>
      <c r="E17" s="117" t="s">
        <v>1722</v>
      </c>
      <c r="F17" s="117"/>
      <c r="G17" s="117" t="s">
        <v>14</v>
      </c>
      <c r="H17" s="117"/>
      <c r="I17" s="115">
        <v>42719</v>
      </c>
      <c r="J17" s="117"/>
    </row>
    <row r="18" spans="4:10">
      <c r="D18" s="117">
        <v>8</v>
      </c>
      <c r="E18" s="117" t="s">
        <v>1723</v>
      </c>
      <c r="F18" s="117"/>
      <c r="G18" s="117" t="s">
        <v>144</v>
      </c>
      <c r="H18" s="117"/>
      <c r="I18" s="115">
        <v>42565</v>
      </c>
      <c r="J18" s="117"/>
    </row>
    <row r="19" spans="4:10">
      <c r="D19" s="117">
        <v>9</v>
      </c>
      <c r="E19" s="117" t="s">
        <v>1724</v>
      </c>
      <c r="F19" s="117"/>
      <c r="G19" s="117" t="s">
        <v>14</v>
      </c>
      <c r="H19" s="117"/>
      <c r="I19" s="115">
        <v>42662</v>
      </c>
      <c r="J19" s="117"/>
    </row>
    <row r="20" spans="4:10">
      <c r="D20" s="117">
        <v>10</v>
      </c>
      <c r="E20" s="117" t="s">
        <v>1725</v>
      </c>
      <c r="F20" s="117"/>
      <c r="G20" s="117" t="s">
        <v>21</v>
      </c>
      <c r="H20" s="117"/>
      <c r="I20" s="115">
        <v>42575</v>
      </c>
      <c r="J20" s="117"/>
    </row>
    <row r="21" spans="4:10">
      <c r="D21" s="117">
        <v>11</v>
      </c>
      <c r="E21" s="117" t="s">
        <v>1726</v>
      </c>
      <c r="F21" s="117"/>
      <c r="G21" s="117" t="s">
        <v>21</v>
      </c>
      <c r="H21" s="117"/>
      <c r="I21" s="115">
        <v>42709</v>
      </c>
      <c r="J21" s="117"/>
    </row>
    <row r="22" spans="4:10">
      <c r="D22" s="117">
        <v>12</v>
      </c>
      <c r="E22" s="117" t="s">
        <v>1727</v>
      </c>
      <c r="F22" s="117"/>
      <c r="G22" s="117" t="s">
        <v>19</v>
      </c>
      <c r="H22" s="117"/>
      <c r="I22" s="115">
        <v>42422</v>
      </c>
      <c r="J22" s="117"/>
    </row>
    <row r="23" spans="4:10">
      <c r="D23" s="117">
        <v>13</v>
      </c>
      <c r="E23" s="117" t="s">
        <v>1728</v>
      </c>
      <c r="F23" s="117"/>
      <c r="G23" s="117" t="s">
        <v>14</v>
      </c>
      <c r="H23" s="117"/>
      <c r="I23" s="115">
        <v>42729</v>
      </c>
      <c r="J23" s="117"/>
    </row>
    <row r="24" spans="4:10">
      <c r="D24" s="117">
        <v>14</v>
      </c>
      <c r="E24" s="117" t="s">
        <v>1729</v>
      </c>
      <c r="F24" s="117"/>
      <c r="G24" s="117" t="s">
        <v>14</v>
      </c>
      <c r="H24" s="117"/>
      <c r="I24" s="115">
        <v>42615</v>
      </c>
      <c r="J24" s="117"/>
    </row>
    <row r="25" spans="4:10">
      <c r="D25" s="117">
        <v>15</v>
      </c>
      <c r="E25" s="117" t="s">
        <v>1730</v>
      </c>
      <c r="F25" s="117"/>
      <c r="G25" s="117" t="s">
        <v>113</v>
      </c>
      <c r="H25" s="117"/>
      <c r="I25" s="115">
        <v>42729</v>
      </c>
      <c r="J25" s="117"/>
    </row>
    <row r="26" spans="4:10">
      <c r="D26" s="117">
        <v>16</v>
      </c>
      <c r="E26" s="117" t="s">
        <v>1731</v>
      </c>
      <c r="F26" s="117"/>
      <c r="G26" s="117" t="s">
        <v>1439</v>
      </c>
      <c r="H26" s="117"/>
      <c r="I26" s="115">
        <v>42522</v>
      </c>
      <c r="J26" s="117"/>
    </row>
    <row r="27" spans="4:10">
      <c r="D27" s="117">
        <v>17</v>
      </c>
      <c r="E27" s="117" t="s">
        <v>1732</v>
      </c>
      <c r="F27" s="117"/>
      <c r="G27" s="117" t="s">
        <v>10</v>
      </c>
      <c r="H27" s="117"/>
      <c r="I27" s="115">
        <v>42522</v>
      </c>
      <c r="J27" s="117"/>
    </row>
    <row r="28" spans="4:10">
      <c r="D28" s="117">
        <v>18</v>
      </c>
      <c r="E28" s="117" t="s">
        <v>1733</v>
      </c>
      <c r="F28" s="117"/>
      <c r="G28" s="117" t="s">
        <v>14</v>
      </c>
      <c r="H28" s="117"/>
      <c r="I28" s="115">
        <v>42465</v>
      </c>
      <c r="J28" s="117"/>
    </row>
    <row r="29" spans="4:10">
      <c r="D29" s="117">
        <v>19</v>
      </c>
      <c r="E29" s="117" t="s">
        <v>1734</v>
      </c>
      <c r="F29" s="117"/>
      <c r="G29" s="117" t="s">
        <v>29</v>
      </c>
      <c r="H29" s="117"/>
      <c r="I29" s="115">
        <v>42577</v>
      </c>
      <c r="J29" s="117"/>
    </row>
    <row r="30" spans="4:10">
      <c r="D30" s="117">
        <v>20</v>
      </c>
      <c r="E30" s="117" t="s">
        <v>1735</v>
      </c>
      <c r="F30" s="117"/>
      <c r="G30" s="117" t="s">
        <v>27</v>
      </c>
      <c r="H30" s="117"/>
      <c r="I30" s="115">
        <v>42717</v>
      </c>
      <c r="J30" s="117"/>
    </row>
    <row r="31" spans="4:10">
      <c r="D31" s="117">
        <v>21</v>
      </c>
      <c r="E31" s="117" t="s">
        <v>1736</v>
      </c>
      <c r="F31" s="117"/>
      <c r="G31" s="117" t="s">
        <v>19</v>
      </c>
      <c r="H31" s="117"/>
      <c r="I31" s="115">
        <v>42463</v>
      </c>
      <c r="J31" s="117"/>
    </row>
    <row r="32" spans="4:10">
      <c r="D32" s="117">
        <v>22</v>
      </c>
      <c r="E32" s="117" t="s">
        <v>1737</v>
      </c>
      <c r="F32" s="117"/>
      <c r="G32" s="117" t="s">
        <v>29</v>
      </c>
      <c r="H32" s="117"/>
      <c r="I32" s="115">
        <v>42531</v>
      </c>
      <c r="J32" s="117"/>
    </row>
    <row r="33" spans="4:10">
      <c r="D33" s="117">
        <v>23</v>
      </c>
      <c r="E33" s="117" t="s">
        <v>1738</v>
      </c>
      <c r="F33" s="117"/>
      <c r="G33" s="117" t="s">
        <v>71</v>
      </c>
      <c r="H33" s="117"/>
      <c r="I33" s="115">
        <v>42392</v>
      </c>
      <c r="J33" s="117"/>
    </row>
    <row r="34" spans="4:10">
      <c r="D34" s="117">
        <v>24</v>
      </c>
      <c r="E34" s="117" t="s">
        <v>1739</v>
      </c>
      <c r="F34" s="117"/>
      <c r="G34" s="117" t="s">
        <v>99</v>
      </c>
      <c r="H34" s="117"/>
      <c r="I34" s="115">
        <v>42392</v>
      </c>
      <c r="J34" s="117"/>
    </row>
    <row r="35" spans="4:10">
      <c r="D35" s="117">
        <v>25</v>
      </c>
      <c r="E35" s="117" t="s">
        <v>1740</v>
      </c>
      <c r="F35" s="117"/>
      <c r="G35" s="117" t="s">
        <v>19</v>
      </c>
      <c r="H35" s="117"/>
      <c r="I35" s="115">
        <v>42624</v>
      </c>
      <c r="J35" s="117"/>
    </row>
    <row r="36" spans="4:10">
      <c r="D36" s="117">
        <v>26</v>
      </c>
      <c r="E36" s="117" t="s">
        <v>1741</v>
      </c>
      <c r="F36" s="117"/>
      <c r="G36" s="117" t="s">
        <v>14</v>
      </c>
      <c r="H36" s="117"/>
      <c r="I36" s="115">
        <v>42395</v>
      </c>
      <c r="J36" s="117"/>
    </row>
    <row r="37" spans="4:10">
      <c r="D37" s="117">
        <v>27</v>
      </c>
      <c r="E37" s="117" t="s">
        <v>1742</v>
      </c>
      <c r="F37" s="117"/>
      <c r="G37" s="117" t="s">
        <v>21</v>
      </c>
      <c r="H37" s="117"/>
      <c r="I37" s="115">
        <v>42718</v>
      </c>
      <c r="J37" s="117"/>
    </row>
    <row r="38" spans="4:10">
      <c r="D38" s="117">
        <v>28</v>
      </c>
      <c r="E38" s="117" t="s">
        <v>1743</v>
      </c>
      <c r="F38" s="117"/>
      <c r="G38" s="117" t="s">
        <v>218</v>
      </c>
      <c r="H38" s="117"/>
      <c r="I38" s="115">
        <v>42659</v>
      </c>
      <c r="J38" s="117"/>
    </row>
    <row r="39" spans="4:10">
      <c r="D39" s="117">
        <v>29</v>
      </c>
      <c r="E39" s="117" t="s">
        <v>1744</v>
      </c>
      <c r="F39" s="117"/>
      <c r="G39" s="117" t="s">
        <v>29</v>
      </c>
      <c r="H39" s="117"/>
      <c r="I39" s="115">
        <v>42649</v>
      </c>
      <c r="J39" s="117"/>
    </row>
    <row r="40" spans="4:10">
      <c r="D40" s="117">
        <v>30</v>
      </c>
      <c r="E40" s="117" t="s">
        <v>1745</v>
      </c>
      <c r="F40" s="117"/>
      <c r="G40" s="117" t="s">
        <v>1439</v>
      </c>
      <c r="H40" s="117"/>
      <c r="I40" s="115">
        <v>42636</v>
      </c>
      <c r="J40" s="117"/>
    </row>
    <row r="41" spans="4:10">
      <c r="D41" s="117">
        <v>31</v>
      </c>
      <c r="E41" s="117" t="s">
        <v>1746</v>
      </c>
      <c r="F41" s="117"/>
      <c r="G41" s="117" t="s">
        <v>118</v>
      </c>
      <c r="H41" s="117"/>
      <c r="I41" s="115">
        <v>42592</v>
      </c>
      <c r="J41" s="117"/>
    </row>
    <row r="42" spans="4:10">
      <c r="D42" s="117">
        <v>32</v>
      </c>
      <c r="E42" s="117" t="s">
        <v>1747</v>
      </c>
      <c r="F42" s="117"/>
      <c r="G42" s="117" t="s">
        <v>21</v>
      </c>
      <c r="H42" s="117"/>
      <c r="I42" s="115">
        <v>42653</v>
      </c>
      <c r="J42" s="117"/>
    </row>
    <row r="43" spans="4:10">
      <c r="D43" s="117">
        <v>33</v>
      </c>
      <c r="E43" s="117" t="s">
        <v>1748</v>
      </c>
      <c r="F43" s="117"/>
      <c r="G43" s="117" t="s">
        <v>62</v>
      </c>
      <c r="H43" s="117"/>
      <c r="I43" s="115">
        <v>42475</v>
      </c>
      <c r="J43" s="117"/>
    </row>
    <row r="44" spans="4:10">
      <c r="D44" s="117">
        <v>34</v>
      </c>
      <c r="E44" s="117" t="s">
        <v>1749</v>
      </c>
      <c r="F44" s="117"/>
      <c r="G44" s="117" t="s">
        <v>71</v>
      </c>
      <c r="H44" s="117"/>
      <c r="I44" s="115">
        <v>42464</v>
      </c>
      <c r="J44" s="117"/>
    </row>
    <row r="45" spans="4:10">
      <c r="D45" s="117">
        <v>35</v>
      </c>
      <c r="E45" s="117" t="s">
        <v>1750</v>
      </c>
      <c r="F45" s="117"/>
      <c r="G45" s="117" t="s">
        <v>144</v>
      </c>
      <c r="H45" s="117"/>
      <c r="I45" s="115">
        <v>42525</v>
      </c>
      <c r="J45" s="117"/>
    </row>
    <row r="46" spans="4:10">
      <c r="D46" s="117">
        <v>36</v>
      </c>
      <c r="E46" s="117" t="s">
        <v>1751</v>
      </c>
      <c r="F46" s="117"/>
      <c r="G46" s="117" t="s">
        <v>1439</v>
      </c>
      <c r="H46" s="117"/>
      <c r="I46" s="115">
        <v>42484</v>
      </c>
      <c r="J46" s="117"/>
    </row>
    <row r="47" spans="4:10">
      <c r="D47" s="117">
        <v>37</v>
      </c>
      <c r="E47" s="117" t="s">
        <v>1752</v>
      </c>
      <c r="F47" s="117"/>
      <c r="G47" s="117" t="s">
        <v>45</v>
      </c>
      <c r="H47" s="117"/>
      <c r="I47" s="115">
        <v>42505</v>
      </c>
      <c r="J47" s="117"/>
    </row>
    <row r="48" spans="4:10">
      <c r="D48" s="117">
        <v>38</v>
      </c>
      <c r="E48" s="117" t="s">
        <v>1753</v>
      </c>
      <c r="F48" s="117"/>
      <c r="G48" s="117" t="s">
        <v>118</v>
      </c>
      <c r="H48" s="117"/>
      <c r="I48" s="115">
        <v>42726</v>
      </c>
      <c r="J48" s="117"/>
    </row>
    <row r="49" spans="4:10">
      <c r="D49" s="117">
        <v>39</v>
      </c>
      <c r="E49" s="117" t="s">
        <v>1754</v>
      </c>
      <c r="F49" s="117"/>
      <c r="G49" s="117" t="s">
        <v>71</v>
      </c>
      <c r="H49" s="117"/>
      <c r="I49" s="115">
        <v>42572</v>
      </c>
      <c r="J49" s="117"/>
    </row>
    <row r="50" spans="4:10">
      <c r="D50" s="117">
        <v>40</v>
      </c>
      <c r="E50" s="117" t="s">
        <v>1755</v>
      </c>
      <c r="F50" s="117"/>
      <c r="G50" s="117" t="s">
        <v>45</v>
      </c>
      <c r="H50" s="117"/>
      <c r="I50" s="115">
        <v>42487</v>
      </c>
      <c r="J50" s="117"/>
    </row>
    <row r="51" spans="4:10">
      <c r="D51" s="117">
        <v>41</v>
      </c>
      <c r="E51" s="117" t="s">
        <v>1756</v>
      </c>
      <c r="F51" s="117"/>
      <c r="G51" s="117" t="s">
        <v>14</v>
      </c>
      <c r="H51" s="117"/>
      <c r="I51" s="115">
        <v>42390</v>
      </c>
      <c r="J51" s="117"/>
    </row>
    <row r="52" spans="4:10">
      <c r="D52" s="117">
        <v>42</v>
      </c>
      <c r="E52" s="117" t="s">
        <v>1757</v>
      </c>
      <c r="F52" s="117"/>
      <c r="G52" s="117" t="s">
        <v>29</v>
      </c>
      <c r="H52" s="117"/>
      <c r="I52" s="115">
        <v>42537</v>
      </c>
      <c r="J52" s="117"/>
    </row>
    <row r="53" spans="4:10">
      <c r="D53" s="117">
        <v>43</v>
      </c>
      <c r="E53" s="117" t="s">
        <v>1758</v>
      </c>
      <c r="F53" s="117"/>
      <c r="G53" s="117" t="s">
        <v>14</v>
      </c>
      <c r="H53" s="117"/>
      <c r="I53" s="115">
        <v>42433</v>
      </c>
      <c r="J53" s="117"/>
    </row>
    <row r="54" spans="4:10">
      <c r="D54" s="117">
        <v>44</v>
      </c>
      <c r="E54" s="117" t="s">
        <v>1759</v>
      </c>
      <c r="F54" s="117"/>
      <c r="G54" s="117" t="s">
        <v>71</v>
      </c>
      <c r="H54" s="117"/>
      <c r="I54" s="115">
        <v>42663</v>
      </c>
      <c r="J54" s="117"/>
    </row>
    <row r="55" spans="4:10">
      <c r="D55" s="117">
        <v>45</v>
      </c>
      <c r="E55" s="117" t="s">
        <v>1760</v>
      </c>
      <c r="F55" s="117"/>
      <c r="G55" s="117"/>
      <c r="H55" s="117"/>
      <c r="I55" s="115">
        <v>42466</v>
      </c>
      <c r="J55" s="117"/>
    </row>
    <row r="56" spans="4:10">
      <c r="D56" s="117">
        <v>46</v>
      </c>
      <c r="E56" s="117" t="s">
        <v>1761</v>
      </c>
      <c r="F56" s="117"/>
      <c r="G56" s="117" t="s">
        <v>14</v>
      </c>
      <c r="H56" s="117"/>
      <c r="I56" s="115">
        <v>42457</v>
      </c>
      <c r="J56" s="117"/>
    </row>
    <row r="57" spans="4:10">
      <c r="D57" s="117">
        <v>47</v>
      </c>
      <c r="E57" s="117" t="s">
        <v>1762</v>
      </c>
      <c r="F57" s="117"/>
      <c r="G57" s="117" t="s">
        <v>113</v>
      </c>
      <c r="H57" s="117"/>
      <c r="I57" s="115">
        <v>42574</v>
      </c>
      <c r="J57" s="117"/>
    </row>
    <row r="58" spans="4:10">
      <c r="D58" s="117">
        <v>48</v>
      </c>
      <c r="E58" s="117" t="s">
        <v>1763</v>
      </c>
      <c r="F58" s="117"/>
      <c r="G58" s="117" t="s">
        <v>113</v>
      </c>
      <c r="H58" s="117"/>
      <c r="I58" s="115">
        <v>42506</v>
      </c>
      <c r="J58" s="117"/>
    </row>
    <row r="59" spans="4:10">
      <c r="D59" s="117">
        <v>49</v>
      </c>
      <c r="E59" s="117" t="s">
        <v>1764</v>
      </c>
      <c r="F59" s="117"/>
      <c r="G59" s="117" t="s">
        <v>14</v>
      </c>
      <c r="H59" s="117"/>
      <c r="I59" s="115">
        <v>42417</v>
      </c>
      <c r="J59" s="117"/>
    </row>
    <row r="60" spans="4:10">
      <c r="D60" s="117">
        <v>50</v>
      </c>
      <c r="E60" s="117" t="s">
        <v>1765</v>
      </c>
      <c r="F60" s="117"/>
      <c r="G60" s="117" t="s">
        <v>99</v>
      </c>
      <c r="H60" s="117"/>
      <c r="I60" s="115">
        <v>42642</v>
      </c>
      <c r="J60" s="117"/>
    </row>
    <row r="61" spans="4:10">
      <c r="D61" s="117">
        <v>51</v>
      </c>
      <c r="E61" s="117" t="s">
        <v>1766</v>
      </c>
      <c r="F61" s="117"/>
      <c r="G61" s="117" t="s">
        <v>118</v>
      </c>
      <c r="H61" s="117"/>
      <c r="I61" s="115">
        <v>42465</v>
      </c>
      <c r="J61" s="117"/>
    </row>
    <row r="62" spans="4:10">
      <c r="D62" s="117">
        <v>52</v>
      </c>
      <c r="E62" s="117" t="s">
        <v>1767</v>
      </c>
      <c r="F62" s="117"/>
      <c r="G62" s="117" t="s">
        <v>218</v>
      </c>
      <c r="H62" s="117"/>
      <c r="I62" s="115">
        <v>42515</v>
      </c>
      <c r="J62" s="117"/>
    </row>
    <row r="63" spans="4:10">
      <c r="D63" s="117">
        <v>53</v>
      </c>
      <c r="E63" s="117" t="s">
        <v>1768</v>
      </c>
      <c r="F63" s="117"/>
      <c r="G63" s="117" t="s">
        <v>75</v>
      </c>
      <c r="H63" s="117"/>
      <c r="I63" s="115">
        <v>42504</v>
      </c>
      <c r="J63" s="117"/>
    </row>
    <row r="64" spans="4:10">
      <c r="D64" s="117">
        <v>54</v>
      </c>
      <c r="E64" s="117" t="s">
        <v>1769</v>
      </c>
      <c r="F64" s="117"/>
      <c r="G64" s="117" t="s">
        <v>14</v>
      </c>
      <c r="H64" s="117"/>
      <c r="I64" s="115">
        <v>42486</v>
      </c>
      <c r="J64" s="117"/>
    </row>
    <row r="65" spans="4:10">
      <c r="D65" s="117">
        <v>55</v>
      </c>
      <c r="E65" s="117" t="s">
        <v>1770</v>
      </c>
      <c r="F65" s="117"/>
      <c r="G65" s="117" t="s">
        <v>43</v>
      </c>
      <c r="H65" s="117"/>
      <c r="I65" s="115">
        <v>42678</v>
      </c>
      <c r="J65" s="117"/>
    </row>
    <row r="66" spans="4:10">
      <c r="D66" s="117">
        <v>56</v>
      </c>
      <c r="E66" s="117" t="s">
        <v>1771</v>
      </c>
      <c r="F66" s="117"/>
      <c r="G66" s="117" t="s">
        <v>19</v>
      </c>
      <c r="H66" s="117"/>
      <c r="I66" s="117"/>
      <c r="J66" s="117"/>
    </row>
    <row r="67" spans="4:10">
      <c r="D67" s="117">
        <v>57</v>
      </c>
      <c r="E67" s="117" t="s">
        <v>1772</v>
      </c>
      <c r="F67" s="117"/>
      <c r="G67" s="117" t="s">
        <v>21</v>
      </c>
      <c r="H67" s="117"/>
      <c r="I67" s="115">
        <v>42374</v>
      </c>
      <c r="J67" s="117"/>
    </row>
    <row r="68" spans="4:10">
      <c r="D68" s="117">
        <v>58</v>
      </c>
      <c r="E68" s="117" t="s">
        <v>1773</v>
      </c>
      <c r="F68" s="117"/>
      <c r="G68" s="117" t="s">
        <v>144</v>
      </c>
      <c r="H68" s="117"/>
      <c r="I68" s="115">
        <v>42600</v>
      </c>
      <c r="J68" s="117"/>
    </row>
    <row r="69" spans="4:10">
      <c r="D69" s="117">
        <v>59</v>
      </c>
      <c r="E69" s="117" t="s">
        <v>1774</v>
      </c>
      <c r="F69" s="117"/>
      <c r="G69" s="117" t="s">
        <v>27</v>
      </c>
      <c r="H69" s="117"/>
      <c r="I69" s="115">
        <v>42634</v>
      </c>
      <c r="J69" s="117"/>
    </row>
    <row r="70" spans="4:10">
      <c r="D70" s="117">
        <v>60</v>
      </c>
      <c r="E70" s="117" t="s">
        <v>1775</v>
      </c>
      <c r="F70" s="117"/>
      <c r="G70" s="117" t="s">
        <v>1439</v>
      </c>
      <c r="H70" s="117"/>
      <c r="I70" s="115">
        <v>42454</v>
      </c>
      <c r="J70" s="117"/>
    </row>
    <row r="71" spans="4:10">
      <c r="D71" s="117">
        <v>61</v>
      </c>
      <c r="E71" s="117" t="s">
        <v>1776</v>
      </c>
      <c r="F71" s="117"/>
      <c r="G71" s="117" t="s">
        <v>218</v>
      </c>
      <c r="H71" s="117"/>
      <c r="I71" s="115">
        <v>42393</v>
      </c>
      <c r="J71" s="117"/>
    </row>
    <row r="72" spans="4:10">
      <c r="D72" s="117">
        <v>62</v>
      </c>
      <c r="E72" s="117" t="s">
        <v>1777</v>
      </c>
      <c r="F72" s="117"/>
      <c r="G72" s="117" t="s">
        <v>49</v>
      </c>
      <c r="H72" s="117"/>
      <c r="I72" s="115">
        <v>42665</v>
      </c>
      <c r="J72" s="117"/>
    </row>
    <row r="73" spans="4:10">
      <c r="D73" s="117">
        <v>63</v>
      </c>
      <c r="E73" s="117" t="s">
        <v>1778</v>
      </c>
      <c r="F73" s="117"/>
      <c r="G73" s="117" t="s">
        <v>118</v>
      </c>
      <c r="H73" s="117"/>
      <c r="I73" s="115">
        <v>42483</v>
      </c>
      <c r="J73" s="117"/>
    </row>
    <row r="74" spans="4:10">
      <c r="D74" s="117">
        <v>64</v>
      </c>
      <c r="E74" s="117" t="s">
        <v>1779</v>
      </c>
      <c r="F74" s="117"/>
      <c r="G74" s="117" t="s">
        <v>113</v>
      </c>
      <c r="H74" s="117"/>
      <c r="I74" s="115">
        <v>42644</v>
      </c>
      <c r="J74" s="117"/>
    </row>
    <row r="75" spans="4:10">
      <c r="D75" s="117">
        <v>65</v>
      </c>
      <c r="E75" s="117" t="s">
        <v>1780</v>
      </c>
      <c r="F75" s="117"/>
      <c r="G75" s="117" t="s">
        <v>14</v>
      </c>
      <c r="H75" s="117"/>
      <c r="I75" s="115">
        <v>42693</v>
      </c>
      <c r="J75" s="117"/>
    </row>
    <row r="76" spans="4:10">
      <c r="D76" s="117">
        <v>66</v>
      </c>
      <c r="E76" s="117" t="s">
        <v>1781</v>
      </c>
      <c r="F76" s="117"/>
      <c r="G76" s="117" t="s">
        <v>21</v>
      </c>
      <c r="H76" s="117"/>
      <c r="I76" s="115">
        <v>42459</v>
      </c>
      <c r="J76" s="117"/>
    </row>
  </sheetData>
  <pageMargins left="0.7" right="0.7" top="0.75" bottom="0.75" header="0.3" footer="0.3"/>
  <pageSetup paperSize="0" fitToWidth="0" fitToHeight="0"/>
</worksheet>
</file>

<file path=xl/worksheets/sheet17.xml><?xml version="1.0" encoding="utf-8"?>
<worksheet xmlns="http://schemas.openxmlformats.org/spreadsheetml/2006/main" xmlns:r="http://schemas.openxmlformats.org/officeDocument/2006/relationships">
  <dimension ref="D2:I7"/>
  <sheetViews>
    <sheetView topLeftCell="B1" zoomScale="52" workbookViewId="0">
      <selection activeCell="A18" sqref="A18"/>
    </sheetView>
  </sheetViews>
  <sheetFormatPr defaultColWidth="10" defaultRowHeight="15"/>
  <sheetData>
    <row r="2" spans="4:9" ht="15.75">
      <c r="E2" s="42"/>
      <c r="F2" s="43"/>
      <c r="H2" s="44" t="s">
        <v>0</v>
      </c>
      <c r="I2" s="42"/>
    </row>
    <row r="3" spans="4:9" ht="15.75">
      <c r="E3" s="42"/>
      <c r="F3" s="43"/>
      <c r="H3" s="44" t="s">
        <v>1</v>
      </c>
      <c r="I3" s="42"/>
    </row>
    <row r="4" spans="4:9" ht="15.75">
      <c r="E4" s="42"/>
      <c r="F4" s="45"/>
      <c r="H4" s="46" t="s">
        <v>2</v>
      </c>
      <c r="I4" s="42"/>
    </row>
    <row r="5" spans="4:9" ht="15.75">
      <c r="D5" s="42"/>
      <c r="E5" s="45"/>
      <c r="G5" s="46"/>
      <c r="H5" s="42"/>
    </row>
    <row r="6" spans="4:9">
      <c r="D6" s="60" t="s">
        <v>1269</v>
      </c>
      <c r="E6" s="61"/>
      <c r="F6" s="61"/>
      <c r="G6" s="61"/>
      <c r="H6" s="61"/>
    </row>
    <row r="7" spans="4:9" ht="15.75">
      <c r="D7" s="62" t="s">
        <v>1270</v>
      </c>
      <c r="E7" s="61"/>
      <c r="F7" s="61"/>
      <c r="G7" s="61"/>
      <c r="H7" s="6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D12:G16"/>
  <sheetViews>
    <sheetView topLeftCell="B1" zoomScale="30" workbookViewId="0">
      <selection activeCell="L4" sqref="L4"/>
    </sheetView>
  </sheetViews>
  <sheetFormatPr defaultColWidth="10" defaultRowHeight="15"/>
  <sheetData>
    <row r="12" spans="4:7" ht="36">
      <c r="D12" s="203" t="s">
        <v>1267</v>
      </c>
    </row>
    <row r="16" spans="4:7" ht="39">
      <c r="G16" s="204" t="s">
        <v>1268</v>
      </c>
    </row>
  </sheetData>
  <pageMargins left="0.7" right="0.7" top="0.75" bottom="0.75" header="0.3" footer="0.3"/>
  <pageSetup paperSize="0" fitToWidth="0" fitToHeight="0"/>
</worksheet>
</file>

<file path=xl/worksheets/sheet19.xml><?xml version="1.0" encoding="utf-8"?>
<worksheet xmlns="http://schemas.openxmlformats.org/spreadsheetml/2006/main" xmlns:r="http://schemas.openxmlformats.org/officeDocument/2006/relationships">
  <dimension ref="D2:I7"/>
  <sheetViews>
    <sheetView workbookViewId="0">
      <selection activeCell="G12" sqref="G12"/>
    </sheetView>
  </sheetViews>
  <sheetFormatPr defaultColWidth="10" defaultRowHeight="15"/>
  <sheetData>
    <row r="2" spans="4:9" ht="15.75">
      <c r="E2" s="42"/>
      <c r="F2" s="43"/>
      <c r="H2" s="44" t="s">
        <v>0</v>
      </c>
      <c r="I2" s="42"/>
    </row>
    <row r="3" spans="4:9" ht="15.75">
      <c r="E3" s="42"/>
      <c r="F3" s="43"/>
      <c r="H3" s="44" t="s">
        <v>1</v>
      </c>
      <c r="I3" s="42"/>
    </row>
    <row r="4" spans="4:9" ht="15.75">
      <c r="E4" s="42"/>
      <c r="F4" s="45"/>
      <c r="H4" s="46" t="s">
        <v>2</v>
      </c>
      <c r="I4" s="42"/>
    </row>
    <row r="5" spans="4:9" ht="15.75">
      <c r="D5" s="42"/>
      <c r="E5" s="45"/>
      <c r="G5" s="46"/>
      <c r="H5" s="42"/>
    </row>
    <row r="6" spans="4:9">
      <c r="D6" s="60" t="s">
        <v>554</v>
      </c>
      <c r="E6" s="61"/>
      <c r="F6" s="61"/>
      <c r="G6" s="61"/>
      <c r="H6" s="61"/>
    </row>
    <row r="7" spans="4:9" ht="15.75">
      <c r="D7" s="62" t="s">
        <v>555</v>
      </c>
      <c r="E7" s="61"/>
      <c r="F7" s="61"/>
      <c r="G7" s="61"/>
      <c r="H7" s="6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20" sqref="L20"/>
    </sheetView>
  </sheetViews>
  <sheetFormatPr defaultColWidth="10"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2" sqref="E22"/>
    </sheetView>
  </sheetViews>
  <sheetFormatPr defaultColWidth="10"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3" sqref="F23"/>
    </sheetView>
  </sheetViews>
  <sheetFormatPr defaultColWidth="10" defaultRowHeight="1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22" sqref="I22"/>
    </sheetView>
  </sheetViews>
  <sheetFormatPr defaultColWidth="10"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3" sqref="E13"/>
    </sheetView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</vt:i4>
      </vt:variant>
    </vt:vector>
  </HeadingPairs>
  <TitlesOfParts>
    <vt:vector size="33" baseType="lpstr">
      <vt:lpstr>2018-2019</vt:lpstr>
      <vt:lpstr>2017-2018</vt:lpstr>
      <vt:lpstr>2016-2017</vt:lpstr>
      <vt:lpstr>2015-2016</vt:lpstr>
      <vt:lpstr>2014-2015</vt:lpstr>
      <vt:lpstr>2013-2014</vt:lpstr>
      <vt:lpstr>2012-2013</vt:lpstr>
      <vt:lpstr>2011-2012</vt:lpstr>
      <vt:lpstr>2010-2011</vt:lpstr>
      <vt:lpstr>2009-2010</vt:lpstr>
      <vt:lpstr>2008-2009</vt:lpstr>
      <vt:lpstr>2007-2008</vt:lpstr>
      <vt:lpstr>2006-2007</vt:lpstr>
      <vt:lpstr>2005-2006</vt:lpstr>
      <vt:lpstr>2004-2005</vt:lpstr>
      <vt:lpstr>2003-2004</vt:lpstr>
      <vt:lpstr>2002-2003</vt:lpstr>
      <vt:lpstr>2001-2002</vt:lpstr>
      <vt:lpstr>2000-2001</vt:lpstr>
      <vt:lpstr>1999-2000</vt:lpstr>
      <vt:lpstr>1998-1999</vt:lpstr>
      <vt:lpstr>1997-1998</vt:lpstr>
      <vt:lpstr>1996-1997</vt:lpstr>
      <vt:lpstr>1995-1996</vt:lpstr>
      <vt:lpstr>1994-1995</vt:lpstr>
      <vt:lpstr>1993-1994</vt:lpstr>
      <vt:lpstr>1992-1993</vt:lpstr>
      <vt:lpstr>1991-1992</vt:lpstr>
      <vt:lpstr>1990-1991</vt:lpstr>
      <vt:lpstr>1989-1990</vt:lpstr>
      <vt:lpstr>1988-1989</vt:lpstr>
      <vt:lpstr>1987-1988</vt:lpstr>
      <vt:lpstr>'2014-2015'!_GoBack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Moradeyo C. Adelegan</dc:creator>
  <cp:lastModifiedBy>USER</cp:lastModifiedBy>
  <dcterms:created xsi:type="dcterms:W3CDTF">2016-09-18T15:54:32Z</dcterms:created>
  <dcterms:modified xsi:type="dcterms:W3CDTF">2021-11-08T14:26:32Z</dcterms:modified>
</cp:coreProperties>
</file>